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277d70c75f44b2" /></Relationships>
</file>

<file path=xl/workbook.xml><?xml version="1.0" encoding="utf-8"?>
<x:workbook xmlns:x="http://schemas.openxmlformats.org/spreadsheetml/2006/main">
  <x:sheets>
    <x:sheet xmlns:r="http://schemas.openxmlformats.org/officeDocument/2006/relationships" name="01_Tong_quan" sheetId="1" r:id="Re5f05024e45c49fb"/>
    <x:sheet xmlns:r="http://schemas.openxmlformats.org/officeDocument/2006/relationships" name="02_Du_lieu_cong_viec" sheetId="2" r:id="Re85a77d33c724e5b"/>
    <x:sheet xmlns:r="http://schemas.openxmlformats.org/officeDocument/2006/relationships" name="03_So_sanh_cloud" sheetId="3" r:id="R8026a7a8d4774510"/>
    <x:sheet xmlns:r="http://schemas.openxmlformats.org/officeDocument/2006/relationships" name="04_Chi_phi_chi_tiet" sheetId="4" r:id="R897e66d897284ee3"/>
    <x:sheet xmlns:r="http://schemas.openxmlformats.org/officeDocument/2006/relationships" name="05_Nguon" sheetId="5" r:id="R9fd336ef6c8b4af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00000"/>
    <x:numFmt numFmtId="202" formatCode="#,##0"/>
    <x:numFmt numFmtId="203" formatCode="$#,##0.00"/>
    <x:numFmt numFmtId="204" formatCode="#,##0,,&quot; triệu&quot;"/>
    <x:numFmt numFmtId="205" formatCode="#,##0.000000"/>
  </x:numFmts>
  <x:fonts count="11">
    <x:font>
      <x:sz val="11"/>
      <x:name val="Carlito"/>
    </x:font>
    <x:font>
      <x:sz val="10"/>
      <x:color rgb="FF252525"/>
      <x:name val="Arial"/>
    </x:font>
    <x:font>
      <x:b/>
      <x:sz val="18"/>
      <x:color rgb="FFFFFFFF"/>
      <x:name val="Arial"/>
    </x:font>
    <x:font>
      <x:i/>
      <x:sz val="10"/>
      <x:color rgb="FF7A4A35"/>
      <x:name val="Arial"/>
    </x:font>
    <x:font>
      <x:b/>
      <x:sz val="10"/>
      <x:color rgb="FF5B3526"/>
      <x:name val="Arial"/>
    </x:font>
    <x:font>
      <x:b/>
      <x:sz val="11"/>
      <x:color rgb="FFFFFFFF"/>
      <x:name val="Arial"/>
    </x:font>
    <x:font>
      <x:b/>
      <x:sz val="10"/>
      <x:color rgb="FFFFFFFF"/>
      <x:name val="Arial"/>
    </x:font>
    <x:font>
      <x:b/>
      <x:sz val="10"/>
      <x:color rgb="FF1F4E78"/>
      <x:name val="Arial"/>
    </x:font>
    <x:font>
      <x:sz val="10"/>
      <x:color rgb="FF1F4E78"/>
      <x:name val="Arial"/>
    </x:font>
    <x:font>
      <x:sz val="10"/>
      <x:color rgb="FF1B7F4B"/>
      <x:name val="Arial"/>
    </x:font>
    <x:font>
      <x:b/>
      <x:sz val="10"/>
      <x:color rgb="FF1B7F4B"/>
      <x:name val="Arial"/>
    </x:font>
  </x:fonts>
  <x:fills count="10">
    <x:fill>
      <x:patternFill patternType="none"/>
    </x:fill>
    <x:fill>
      <x:patternFill patternType="gray125"/>
    </x:fill>
    <x:fill>
      <x:patternFill patternType="solid">
        <x:fgColor rgb="FF5B3526"/>
      </x:patternFill>
    </x:fill>
    <x:fill>
      <x:patternFill patternType="solid">
        <x:fgColor rgb="FFF7F1E8"/>
      </x:patternFill>
    </x:fill>
    <x:fill>
      <x:patternFill patternType="solid">
        <x:fgColor rgb="FFFFF2CC"/>
      </x:patternFill>
    </x:fill>
    <x:fill>
      <x:patternFill patternType="solid">
        <x:fgColor rgb="FF7A4A35"/>
      </x:patternFill>
    </x:fill>
    <x:fill>
      <x:patternFill patternType="solid">
        <x:fgColor rgb="FFEAF2F8"/>
      </x:patternFill>
    </x:fill>
    <x:fill>
      <x:patternFill patternType="solid">
        <x:fgColor rgb="FFF8FBFD"/>
      </x:patternFill>
    </x:fill>
    <x:fill>
      <x:patternFill patternType="solid">
        <x:fgColor rgb="FFFAF7F2"/>
      </x:patternFill>
    </x:fill>
    <x:fill>
      <x:patternFill patternType="solid">
        <x:fgColor rgb="FFE9F5EE"/>
      </x:patternFill>
    </x:fill>
  </x:fills>
  <x:borders count="10">
    <x:border/>
    <x:border>
      <x:left style="thin">
        <x:color rgb="FFD8D1C7"/>
      </x:left>
      <x:top style="thin">
        <x:color rgb="FFD8D1C7"/>
      </x:top>
    </x:border>
    <x:border>
      <x:top style="thin">
        <x:color rgb="FFD8D1C7"/>
      </x:top>
    </x:border>
    <x:border>
      <x:right style="thin">
        <x:color rgb="FFD8D1C7"/>
      </x:right>
      <x:top style="thin">
        <x:color rgb="FFD8D1C7"/>
      </x:top>
    </x:border>
    <x:border>
      <x:left style="thin">
        <x:color rgb="FFD8D1C7"/>
      </x:left>
      <x:bottom style="thin">
        <x:color rgb="FFD8D1C7"/>
      </x:bottom>
    </x:border>
    <x:border>
      <x:bottom style="thin">
        <x:color rgb="FFD8D1C7"/>
      </x:bottom>
    </x:border>
    <x:border>
      <x:right style="thin">
        <x:color rgb="FFD8D1C7"/>
      </x:right>
      <x:bottom style="thin">
        <x:color rgb="FFD8D1C7"/>
      </x:bottom>
    </x:border>
    <x:border>
      <x:left style="thin">
        <x:color rgb="FFD8D1C7"/>
      </x:left>
      <x:right style="thin">
        <x:color rgb="FFD8D1C7"/>
      </x:right>
      <x:top style="thin">
        <x:color rgb="FFD8D1C7"/>
      </x:top>
      <x:bottom style="thin">
        <x:color rgb="FFD8D1C7"/>
      </x:bottom>
    </x:border>
    <x:border>
      <x:left style="thin">
        <x:color rgb="FFD8D1C7"/>
      </x:left>
    </x:border>
    <x:border>
      <x:right style="thin">
        <x:color rgb="FFD8D1C7"/>
      </x:right>
    </x:border>
  </x:borders>
  <x:cellStyleXfs count="1">
    <x:xf numFmtId="0" fontId="0" fillId="0" borderId="0"/>
  </x:cellStyleXfs>
  <x:cellXfs count="1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1" xfId="0" applyNumberFormat="1" applyFont="1" applyFill="1" applyBorder="1" applyAlignment="1">
      <x:alignment vertical="center"/>
    </x:xf>
    <x:xf numFmtId="0" fontId="4" fillId="4" borderId="2"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0" fontId="4" fillId="4" borderId="6"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4" fillId="4" borderId="3"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0"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6" fillId="2" borderId="7" xfId="0" applyNumberFormat="1" applyFont="1" applyFill="1" applyBorder="1" applyAlignment="1">
      <x:alignment vertical="center"/>
    </x:xf>
    <x:xf numFmtId="0" fontId="6" fillId="2" borderId="7" xfId="0" applyNumberFormat="1" applyFont="1" applyFill="1" applyBorder="1" applyAlignment="1">
      <x:alignment vertical="center" wrapText="1"/>
    </x:xf>
    <x:xf numFmtId="0" fontId="6" fillId="2" borderId="7" xfId="0" applyNumberFormat="1" applyFont="1" applyFill="1" applyBorder="1" applyAlignment="1">
      <x:alignment horizontal="center" vertical="center" wrapText="1"/>
    </x:xf>
    <x:xf numFmtId="0" fontId="1" fillId="0" borderId="7"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0" borderId="7"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7" fillId="4" borderId="7" xfId="0" applyNumberFormat="1" applyFont="1" applyFill="1" applyBorder="1" applyAlignment="1">
      <x:alignment vertical="top" wrapText="1"/>
    </x:xf>
    <x:xf numFmtId="200" fontId="7" fillId="4" borderId="7"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4" fillId="6" borderId="0" xfId="0" applyNumberFormat="1" applyFont="1" applyFill="1" applyBorder="1" applyAlignment="1">
      <x:alignment vertical="center"/>
    </x:xf>
    <x:xf numFmtId="0" fontId="4" fillId="6" borderId="1" xfId="0" applyNumberFormat="1" applyFont="1" applyFill="1" applyBorder="1" applyAlignment="1">
      <x:alignment vertical="center"/>
    </x:xf>
    <x:xf numFmtId="0" fontId="4" fillId="6" borderId="2" xfId="0" applyNumberFormat="1" applyFont="1" applyFill="1" applyBorder="1" applyAlignment="1">
      <x:alignment vertical="center"/>
    </x:xf>
    <x:xf numFmtId="0" fontId="4" fillId="6" borderId="3" xfId="0" applyNumberFormat="1" applyFont="1" applyFill="1" applyBorder="1" applyAlignment="1">
      <x:alignment vertical="center"/>
    </x:xf>
    <x:xf numFmtId="0" fontId="4" fillId="6" borderId="8" xfId="0" applyNumberFormat="1" applyFont="1" applyFill="1" applyBorder="1" applyAlignment="1">
      <x:alignment vertical="center"/>
    </x:xf>
    <x:xf numFmtId="0" fontId="4" fillId="6" borderId="9" xfId="0" applyNumberFormat="1" applyFont="1" applyFill="1" applyBorder="1" applyAlignment="1">
      <x:alignment vertical="center"/>
    </x:xf>
    <x:xf numFmtId="0" fontId="4" fillId="6" borderId="4" xfId="0" applyNumberFormat="1" applyFont="1" applyFill="1" applyBorder="1" applyAlignment="1">
      <x:alignment vertical="center"/>
    </x:xf>
    <x:xf numFmtId="0" fontId="4" fillId="6" borderId="5" xfId="0" applyNumberFormat="1" applyFont="1" applyFill="1" applyBorder="1" applyAlignment="1">
      <x:alignment vertical="center"/>
    </x:xf>
    <x:xf numFmtId="0" fontId="4" fillId="6" borderId="6" xfId="0" applyNumberFormat="1" applyFont="1" applyFill="1" applyBorder="1" applyAlignment="1">
      <x:alignment vertical="center"/>
    </x:xf>
    <x:xf numFmtId="0" fontId="4" fillId="6" borderId="1" xfId="0" applyNumberFormat="1" applyFont="1" applyFill="1" applyBorder="1" applyAlignment="1">
      <x:alignment vertical="center" wrapText="1"/>
    </x:xf>
    <x:xf numFmtId="0" fontId="4" fillId="6" borderId="2"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4" fillId="6" borderId="4" xfId="0" applyNumberFormat="1" applyFont="1" applyFill="1" applyBorder="1" applyAlignment="1">
      <x:alignment vertical="center" wrapText="1"/>
    </x:xf>
    <x:xf numFmtId="0" fontId="4" fillId="6" borderId="5" xfId="0" applyNumberFormat="1" applyFont="1" applyFill="1" applyBorder="1" applyAlignment="1">
      <x:alignment vertical="center" wrapText="1"/>
    </x:xf>
    <x:xf numFmtId="0" fontId="4" fillId="6" borderId="6" xfId="0" applyNumberFormat="1" applyFont="1" applyFill="1" applyBorder="1" applyAlignment="1">
      <x:alignment vertical="center" wrapText="1"/>
    </x:xf>
    <x:xf numFmtId="0" fontId="8" fillId="0" borderId="7" xfId="0" applyNumberFormat="1" applyFont="1" applyFill="1" applyBorder="1" applyAlignment="1">
      <x:alignment vertical="top" wrapText="1"/>
    </x:xf>
    <x:xf numFmtId="201" fontId="8" fillId="0" borderId="7" xfId="0" applyNumberFormat="1" applyFont="1" applyFill="1" applyBorder="1" applyAlignment="1">
      <x:alignment vertical="top" wrapText="1"/>
    </x:xf>
    <x:xf numFmtId="0" fontId="8" fillId="4" borderId="7" xfId="0" applyNumberFormat="1" applyFont="1" applyFill="1" applyBorder="1" applyAlignment="1">
      <x:alignment vertical="top" wrapText="1"/>
    </x:xf>
    <x:xf numFmtId="0" fontId="9" fillId="0" borderId="7" xfId="0" applyNumberFormat="1" applyFont="1" applyFill="1" applyBorder="1" applyAlignment="1">
      <x:alignment vertical="top" wrapText="1"/>
    </x:xf>
    <x:xf numFmtId="202" fontId="8" fillId="4" borderId="7" xfId="0" applyNumberFormat="1" applyFont="1" applyFill="1" applyBorder="1" applyAlignment="1">
      <x:alignment vertical="top" wrapText="1"/>
    </x:xf>
    <x:xf numFmtId="203" fontId="8" fillId="4" borderId="7" xfId="0" applyNumberFormat="1" applyFont="1" applyFill="1" applyBorder="1" applyAlignment="1">
      <x:alignment vertical="top" wrapText="1"/>
    </x:xf>
    <x:xf numFmtId="203" fontId="9" fillId="0" borderId="7" xfId="0" applyNumberFormat="1" applyFont="1" applyFill="1" applyBorder="1" applyAlignment="1">
      <x:alignment vertical="top" wrapText="1"/>
    </x:xf>
    <x:xf numFmtId="202" fontId="9" fillId="0" borderId="7" xfId="0" applyNumberFormat="1" applyFont="1" applyFill="1" applyBorder="1" applyAlignment="1">
      <x:alignment vertical="top" wrapText="1"/>
    </x:xf>
    <x:xf numFmtId="204" fontId="9" fillId="0" borderId="7" xfId="0" applyNumberFormat="1" applyFont="1" applyFill="1" applyBorder="1" applyAlignment="1">
      <x:alignment vertical="top" wrapText="1"/>
    </x:xf>
    <x:xf numFmtId="0" fontId="1" fillId="7" borderId="7" xfId="0" applyNumberFormat="1" applyFont="1" applyFill="1" applyBorder="1" applyAlignment="1">
      <x:alignment vertical="top" wrapText="1"/>
    </x:xf>
    <x:xf numFmtId="202" fontId="8" fillId="7" borderId="7" xfId="0" applyNumberFormat="1" applyFont="1" applyFill="1" applyBorder="1" applyAlignment="1">
      <x:alignment vertical="top" wrapText="1"/>
    </x:xf>
    <x:xf numFmtId="203" fontId="8" fillId="7" borderId="7" xfId="0" applyNumberFormat="1" applyFont="1" applyFill="1" applyBorder="1" applyAlignment="1">
      <x:alignment vertical="top" wrapText="1"/>
    </x:xf>
    <x:xf numFmtId="203" fontId="9" fillId="7" borderId="7" xfId="0" applyNumberFormat="1" applyFont="1" applyFill="1" applyBorder="1" applyAlignment="1">
      <x:alignment vertical="top" wrapText="1"/>
    </x:xf>
    <x:xf numFmtId="202" fontId="9" fillId="7" borderId="7" xfId="0" applyNumberFormat="1" applyFont="1" applyFill="1" applyBorder="1" applyAlignment="1">
      <x:alignment vertical="top" wrapText="1"/>
    </x:xf>
    <x:xf numFmtId="204" fontId="9" fillId="7" borderId="7" xfId="0" applyNumberFormat="1" applyFont="1" applyFill="1" applyBorder="1" applyAlignment="1">
      <x:alignment vertical="top" wrapText="1"/>
    </x:xf>
    <x:xf numFmtId="0" fontId="1" fillId="8" borderId="7" xfId="0" applyNumberFormat="1" applyFont="1" applyFill="1" applyBorder="1" applyAlignment="1">
      <x:alignment vertical="top" wrapText="1"/>
    </x:xf>
    <x:xf numFmtId="202" fontId="8" fillId="8" borderId="7" xfId="0" applyNumberFormat="1" applyFont="1" applyFill="1" applyBorder="1" applyAlignment="1">
      <x:alignment vertical="top" wrapText="1"/>
    </x:xf>
    <x:xf numFmtId="203" fontId="8" fillId="8" borderId="7" xfId="0" applyNumberFormat="1" applyFont="1" applyFill="1" applyBorder="1" applyAlignment="1">
      <x:alignment vertical="top" wrapText="1"/>
    </x:xf>
    <x:xf numFmtId="203" fontId="9" fillId="8" borderId="7" xfId="0" applyNumberFormat="1" applyFont="1" applyFill="1" applyBorder="1" applyAlignment="1">
      <x:alignment vertical="top" wrapText="1"/>
    </x:xf>
    <x:xf numFmtId="202" fontId="9" fillId="8" borderId="7" xfId="0" applyNumberFormat="1" applyFont="1" applyFill="1" applyBorder="1" applyAlignment="1">
      <x:alignment vertical="top" wrapText="1"/>
    </x:xf>
    <x:xf numFmtId="204" fontId="9" fillId="8" borderId="7" xfId="0" applyNumberFormat="1" applyFont="1" applyFill="1" applyBorder="1" applyAlignment="1">
      <x:alignment vertical="top" wrapText="1"/>
    </x:xf>
    <x:xf numFmtId="0" fontId="10" fillId="0" borderId="7" xfId="0" applyNumberFormat="1" applyFont="1" applyFill="1" applyBorder="1" applyAlignment="1">
      <x:alignment vertical="top" wrapText="1"/>
    </x:xf>
    <x:xf numFmtId="200" fontId="10" fillId="0" borderId="7" xfId="0" applyNumberFormat="1" applyFont="1" applyFill="1" applyBorder="1" applyAlignment="1">
      <x:alignment vertical="top" wrapText="1"/>
    </x:xf>
    <x:xf numFmtId="204" fontId="10" fillId="0" borderId="7" xfId="0" applyNumberFormat="1" applyFont="1" applyFill="1" applyBorder="1" applyAlignment="1">
      <x:alignment vertical="top" wrapText="1"/>
    </x:xf>
    <x:xf numFmtId="0" fontId="1" fillId="9" borderId="0" xfId="0" applyNumberFormat="1" applyFont="1" applyFill="1" applyBorder="1" applyAlignment="1">
      <x:alignment vertical="center"/>
    </x:xf>
    <x:xf numFmtId="0" fontId="4" fillId="9" borderId="0" xfId="0" applyNumberFormat="1" applyFont="1" applyFill="1" applyBorder="1" applyAlignment="1">
      <x:alignment vertical="center"/>
    </x:xf>
    <x:xf numFmtId="0" fontId="4" fillId="9" borderId="1" xfId="0" applyNumberFormat="1" applyFont="1" applyFill="1" applyBorder="1" applyAlignment="1">
      <x:alignment vertical="center"/>
    </x:xf>
    <x:xf numFmtId="0" fontId="4" fillId="9" borderId="2" xfId="0" applyNumberFormat="1" applyFont="1" applyFill="1" applyBorder="1" applyAlignment="1">
      <x:alignment vertical="center"/>
    </x:xf>
    <x:xf numFmtId="0" fontId="4" fillId="9" borderId="3" xfId="0" applyNumberFormat="1" applyFont="1" applyFill="1" applyBorder="1" applyAlignment="1">
      <x:alignment vertical="center"/>
    </x:xf>
    <x:xf numFmtId="0" fontId="4" fillId="9" borderId="8" xfId="0" applyNumberFormat="1" applyFont="1" applyFill="1" applyBorder="1" applyAlignment="1">
      <x:alignment vertical="center"/>
    </x:xf>
    <x:xf numFmtId="0" fontId="4" fillId="9" borderId="9" xfId="0" applyNumberFormat="1" applyFont="1" applyFill="1" applyBorder="1" applyAlignment="1">
      <x:alignment vertical="center"/>
    </x:xf>
    <x:xf numFmtId="0" fontId="4" fillId="9" borderId="4" xfId="0" applyNumberFormat="1" applyFont="1" applyFill="1" applyBorder="1" applyAlignment="1">
      <x:alignment vertical="center"/>
    </x:xf>
    <x:xf numFmtId="0" fontId="4" fillId="9" borderId="5" xfId="0" applyNumberFormat="1" applyFont="1" applyFill="1" applyBorder="1" applyAlignment="1">
      <x:alignment vertical="center"/>
    </x:xf>
    <x:xf numFmtId="0" fontId="4" fillId="9" borderId="6" xfId="0" applyNumberFormat="1" applyFont="1" applyFill="1" applyBorder="1" applyAlignment="1">
      <x:alignment vertical="center"/>
    </x:xf>
    <x:xf numFmtId="0" fontId="4" fillId="9" borderId="1" xfId="0" applyNumberFormat="1" applyFont="1" applyFill="1" applyBorder="1" applyAlignment="1">
      <x:alignment vertical="center" wrapText="1"/>
    </x:xf>
    <x:xf numFmtId="0" fontId="4" fillId="9" borderId="2" xfId="0" applyNumberFormat="1" applyFont="1" applyFill="1" applyBorder="1" applyAlignment="1">
      <x:alignment vertical="center" wrapText="1"/>
    </x:xf>
    <x:xf numFmtId="0" fontId="4" fillId="9" borderId="3" xfId="0" applyNumberFormat="1" applyFont="1" applyFill="1" applyBorder="1" applyAlignment="1">
      <x:alignment vertical="center" wrapText="1"/>
    </x:xf>
    <x:xf numFmtId="0" fontId="4" fillId="9" borderId="8"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4" fillId="9" borderId="9" xfId="0" applyNumberFormat="1" applyFont="1" applyFill="1" applyBorder="1" applyAlignment="1">
      <x:alignment vertical="center" wrapText="1"/>
    </x:xf>
    <x:xf numFmtId="0" fontId="4" fillId="9" borderId="4" xfId="0" applyNumberFormat="1" applyFont="1" applyFill="1" applyBorder="1" applyAlignment="1">
      <x:alignment vertical="center" wrapText="1"/>
    </x:xf>
    <x:xf numFmtId="0" fontId="4" fillId="9" borderId="5" xfId="0" applyNumberFormat="1" applyFont="1" applyFill="1" applyBorder="1" applyAlignment="1">
      <x:alignment vertical="center" wrapText="1"/>
    </x:xf>
    <x:xf numFmtId="0" fontId="4" fillId="9" borderId="6" xfId="0" applyNumberFormat="1" applyFont="1" applyFill="1" applyBorder="1" applyAlignment="1">
      <x:alignment vertical="center" wrapText="1"/>
    </x:xf>
    <x:xf numFmtId="205" fontId="1" fillId="0" borderId="7" xfId="0" applyNumberFormat="1" applyFont="1" applyFill="1" applyBorder="1" applyAlignment="1">
      <x:alignment vertical="top" wrapText="1"/>
    </x:xf>
    <x:xf numFmtId="0" fontId="1" fillId="0" borderId="0" xfId="0" applyNumberFormat="1" applyFont="1" applyFill="1" applyBorder="1" applyAlignment="1">
      <x:alignment vertical="center" wrapText="1"/>
    </x:xf>
    <x:xf numFmtId="200" fontId="10" fillId="0" borderId="7" xfId="0" applyNumberFormat="1" applyFont="1" applyFill="1" applyBorder="1" applyAlignment="1">
      <x:alignment vertical="center" wrapText="1"/>
    </x:xf>
    <x:xf numFmtId="204" fontId="10" fillId="0" borderId="7" xfId="0" applyNumberFormat="1" applyFont="1" applyFill="1" applyBorder="1" applyAlignment="1">
      <x:alignment vertical="center" wrapText="1"/>
    </x:xf>
    <x:xf numFmtId="200" fontId="7" fillId="4" borderId="7" xfId="0" applyNumberFormat="1" applyFont="1" applyFill="1" applyBorder="1" applyAlignment="1">
      <x:alignment vertical="center" wrapText="1"/>
    </x:xf>
    <x:xf numFmtId="201" fontId="8" fillId="0" borderId="7" xfId="0" applyNumberFormat="1" applyFont="1" applyFill="1" applyBorder="1" applyAlignment="1">
      <x:alignment vertical="center" wrapText="1"/>
    </x:xf>
    <x:xf numFmtId="0" fontId="1" fillId="7" borderId="7" xfId="0" applyNumberFormat="1" applyFont="1" applyFill="1" applyBorder="1" applyAlignment="1">
      <x:alignment vertical="center" wrapText="1"/>
    </x:xf>
    <x:xf numFmtId="202" fontId="8" fillId="7" borderId="7" xfId="0" applyNumberFormat="1" applyFont="1" applyFill="1" applyBorder="1" applyAlignment="1">
      <x:alignment vertical="center" wrapText="1"/>
    </x:xf>
    <x:xf numFmtId="203" fontId="8" fillId="7" borderId="7" xfId="0" applyNumberFormat="1" applyFont="1" applyFill="1" applyBorder="1" applyAlignment="1">
      <x:alignment vertical="center" wrapText="1"/>
    </x:xf>
    <x:xf numFmtId="203" fontId="9" fillId="7" borderId="7" xfId="0" applyNumberFormat="1" applyFont="1" applyFill="1" applyBorder="1" applyAlignment="1">
      <x:alignment vertical="center" wrapText="1"/>
    </x:xf>
    <x:xf numFmtId="202" fontId="9" fillId="7" borderId="7" xfId="0" applyNumberFormat="1" applyFont="1" applyFill="1" applyBorder="1" applyAlignment="1">
      <x:alignment vertical="center" wrapText="1"/>
    </x:xf>
    <x:xf numFmtId="204" fontId="9" fillId="7" borderId="7" xfId="0" applyNumberFormat="1" applyFont="1" applyFill="1" applyBorder="1" applyAlignment="1">
      <x:alignment vertical="center" wrapText="1"/>
    </x:xf>
    <x:xf numFmtId="0" fontId="1" fillId="8" borderId="7" xfId="0" applyNumberFormat="1" applyFont="1" applyFill="1" applyBorder="1" applyAlignment="1">
      <x:alignment vertical="center" wrapText="1"/>
    </x:xf>
    <x:xf numFmtId="202" fontId="8" fillId="8" borderId="7" xfId="0" applyNumberFormat="1" applyFont="1" applyFill="1" applyBorder="1" applyAlignment="1">
      <x:alignment vertical="center" wrapText="1"/>
    </x:xf>
    <x:xf numFmtId="203" fontId="8" fillId="8" borderId="7" xfId="0" applyNumberFormat="1" applyFont="1" applyFill="1" applyBorder="1" applyAlignment="1">
      <x:alignment vertical="center" wrapText="1"/>
    </x:xf>
    <x:xf numFmtId="203" fontId="9" fillId="8" borderId="7" xfId="0" applyNumberFormat="1" applyFont="1" applyFill="1" applyBorder="1" applyAlignment="1">
      <x:alignment vertical="center" wrapText="1"/>
    </x:xf>
    <x:xf numFmtId="202" fontId="9" fillId="8" borderId="7" xfId="0" applyNumberFormat="1" applyFont="1" applyFill="1" applyBorder="1" applyAlignment="1">
      <x:alignment vertical="center" wrapText="1"/>
    </x:xf>
    <x:xf numFmtId="204" fontId="9" fillId="8" borderId="7" xfId="0" applyNumberFormat="1" applyFont="1" applyFill="1" applyBorder="1" applyAlignment="1">
      <x:alignment vertical="center" wrapText="1"/>
    </x:xf>
    <x:xf numFmtId="205" fontId="1" fillId="0" borderId="7" xfId="0" applyNumberFormat="1" applyFont="1" applyFill="1" applyBorder="1" applyAlignment="1">
      <x:alignment vertical="center" wrapText="1"/>
    </x:xf>
    <x:xf numFmtId="0" fontId="8" fillId="0" borderId="7"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b3f6d8f30141a7" /><Relationship Type="http://schemas.openxmlformats.org/officeDocument/2006/relationships/theme" Target="/xl/theme/theme1.xml" Id="Reff5d0977f51460e" /><Relationship Type="http://schemas.openxmlformats.org/officeDocument/2006/relationships/sharedStrings" Target="/xl/sharedStrings.xml" Id="Red3c419f43bb4dac" /><Relationship Type="http://schemas.openxmlformats.org/officeDocument/2006/relationships/worksheet" Target="/xl/worksheets/sheet1.xml" Id="Re5f05024e45c49fb" /><Relationship Type="http://schemas.openxmlformats.org/officeDocument/2006/relationships/worksheet" Target="/xl/worksheets/sheet2.xml" Id="Re85a77d33c724e5b" /><Relationship Type="http://schemas.openxmlformats.org/officeDocument/2006/relationships/worksheet" Target="/xl/worksheets/sheet3.xml" Id="R8026a7a8d4774510" /><Relationship Type="http://schemas.openxmlformats.org/officeDocument/2006/relationships/worksheet" Target="/xl/worksheets/sheet4.xml" Id="R897e66d897284ee3" /><Relationship Type="http://schemas.openxmlformats.org/officeDocument/2006/relationships/worksheet" Target="/xl/worksheets/sheet5.xml" Id="R9fd336ef6c8b4a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5B3526"/>
  </x:sheetPr>
  <x:sheetViews>
    <x:sheetView showGridLines="0" workbookViewId="0">
      <x:pane ySplit="2" topLeftCell="A3" activePane="bottomLeft" state="frozen"/>
    </x:sheetView>
  </x:sheetViews>
  <x:sheetFormatPr defaultRowHeight="15"/>
  <x:cols>
    <x:col min="1" max="1" width="19" hidden="0" customWidth="1"/>
    <x:col min="2" max="2" width="17" hidden="0" customWidth="1"/>
    <x:col min="3" max="3" width="17" hidden="0" customWidth="1"/>
    <x:col min="4" max="4" width="17" hidden="0" customWidth="1"/>
    <x:col min="5" max="5" width="16" hidden="0" customWidth="1"/>
    <x:col min="6" max="6" width="16" hidden="0" customWidth="1"/>
    <x:col min="7" max="7" width="16" hidden="0" customWidth="1"/>
    <x:col min="8" max="8" width="16" hidden="0" customWidth="1"/>
  </x:cols>
  <x:sheetData>
    <x:row r="1" ht="43.20000076293945" hidden="0" customHeight="1">
      <x:c r="A1" s="5" t="str">
        <x:v>POC AI GIÁM SÁT AN TOÀN NHÀ MÁY – TÓM TẮT ĐỀ XUẤT</x:v>
      </x:c>
      <x:c r="B1" s="5"/>
      <x:c r="C1" s="5"/>
      <x:c r="D1" s="5"/>
      <x:c r="E1" s="5"/>
      <x:c r="F1" s="5"/>
      <x:c r="G1" s="5"/>
      <x:c r="H1" s="5"/>
      <x:c r="I1" s="99"/>
      <x:c r="J1" s="99"/>
      <x:c r="K1" s="99"/>
      <x:c r="L1" s="99"/>
      <x:c r="M1" s="99"/>
      <x:c r="N1" s="99"/>
      <x:c r="O1" s="99"/>
      <x:c r="P1" s="99"/>
      <x:c r="Q1" s="99"/>
    </x:row>
    <x:row r="2" ht="24" hidden="0" customHeight="1">
      <x:c r="A2" s="8" t="str">
        <x:v>Bối cảnh tham chiếu: Trung Nguyên Legend | Trạng thái: tài liệu định hướng, cần khảo sát và benchmark trước khi chốt</x:v>
      </x:c>
      <x:c r="B2" s="8"/>
      <x:c r="C2" s="8"/>
      <x:c r="D2" s="8"/>
      <x:c r="E2" s="8"/>
      <x:c r="F2" s="8"/>
      <x:c r="G2" s="8"/>
      <x:c r="H2" s="8"/>
      <x:c r="I2" s="99"/>
      <x:c r="J2" s="99"/>
      <x:c r="K2" s="99"/>
      <x:c r="L2" s="99"/>
      <x:c r="M2" s="99"/>
      <x:c r="N2" s="99"/>
      <x:c r="O2" s="99"/>
      <x:c r="P2" s="99"/>
      <x:c r="Q2" s="99"/>
    </x:row>
    <x:row r="3" ht="15" hidden="0" customHeight="1">
      <x:c r="A3" s="99"/>
      <x:c r="B3" s="99"/>
      <x:c r="C3" s="99"/>
      <x:c r="D3" s="99"/>
      <x:c r="E3" s="99"/>
      <x:c r="F3" s="99"/>
      <x:c r="G3" s="99"/>
      <x:c r="H3" s="99"/>
      <x:c r="I3" s="99"/>
      <x:c r="J3" s="99"/>
      <x:c r="K3" s="99"/>
      <x:c r="L3" s="99"/>
      <x:c r="M3" s="99"/>
      <x:c r="N3" s="99"/>
      <x:c r="O3" s="99"/>
      <x:c r="P3" s="99"/>
      <x:c r="Q3" s="99"/>
    </x:row>
    <x:row r="4">
      <x:c r="A4" s="17" t="str">
        <x:v>Kết luận chính: source hiện tại là bản POC dùng mock data để trình diễn luồng nghiệp vụ. Muốn đưa vào xưởng thật cần dữ liệu camera thực tế, quy tắc an toàn được xác nhận, khảo sát mạng/camera, tinh chỉnh mô hình và chạy thử có người kiểm tra cảnh báo.</x:v>
      </x:c>
      <x:c r="B4" s="18"/>
      <x:c r="C4" s="18"/>
      <x:c r="D4" s="18"/>
      <x:c r="E4" s="18"/>
      <x:c r="F4" s="18"/>
      <x:c r="G4" s="18"/>
      <x:c r="H4" s="19"/>
      <x:c r="I4" s="99"/>
      <x:c r="J4" s="99"/>
      <x:c r="K4" s="99"/>
      <x:c r="L4" s="99"/>
      <x:c r="M4" s="99"/>
      <x:c r="N4" s="99"/>
      <x:c r="O4" s="99"/>
      <x:c r="P4" s="99"/>
      <x:c r="Q4" s="99"/>
    </x:row>
    <x:row r="5">
      <x:c r="A5" s="20"/>
      <x:c r="B5" s="21"/>
      <x:c r="C5" s="21"/>
      <x:c r="D5" s="21"/>
      <x:c r="E5" s="21"/>
      <x:c r="F5" s="21"/>
      <x:c r="G5" s="21"/>
      <x:c r="H5" s="22"/>
      <x:c r="I5" s="99"/>
      <x:c r="J5" s="99"/>
      <x:c r="K5" s="99"/>
      <x:c r="L5" s="99"/>
      <x:c r="M5" s="99"/>
      <x:c r="N5" s="99"/>
      <x:c r="O5" s="99"/>
      <x:c r="P5" s="99"/>
      <x:c r="Q5" s="99"/>
    </x:row>
    <x:row r="6" ht="15" hidden="0" customHeight="1">
      <x:c r="A6" s="99"/>
      <x:c r="B6" s="99"/>
      <x:c r="C6" s="99"/>
      <x:c r="D6" s="99"/>
      <x:c r="E6" s="99"/>
      <x:c r="F6" s="99"/>
      <x:c r="G6" s="99"/>
      <x:c r="H6" s="99"/>
      <x:c r="I6" s="99"/>
      <x:c r="J6" s="99"/>
      <x:c r="K6" s="99"/>
      <x:c r="L6" s="99"/>
      <x:c r="M6" s="99"/>
      <x:c r="N6" s="99"/>
      <x:c r="O6" s="99"/>
      <x:c r="P6" s="99"/>
      <x:c r="Q6" s="99"/>
    </x:row>
    <x:row r="7" ht="15" hidden="0" customHeight="1">
      <x:c r="A7" s="25" t="str">
        <x:v>1. Phạm vi POC nên bắt đầu nhỏ và đo được</x:v>
      </x:c>
      <x:c r="B7" s="25"/>
      <x:c r="C7" s="25"/>
      <x:c r="D7" s="25"/>
      <x:c r="E7" s="25"/>
      <x:c r="F7" s="25"/>
      <x:c r="G7" s="25"/>
      <x:c r="H7" s="25"/>
      <x:c r="I7" s="99"/>
      <x:c r="J7" s="99"/>
      <x:c r="K7" s="99"/>
      <x:c r="L7" s="99"/>
      <x:c r="M7" s="99"/>
      <x:c r="N7" s="99"/>
      <x:c r="O7" s="99"/>
      <x:c r="P7" s="99"/>
      <x:c r="Q7" s="99"/>
    </x:row>
    <x:row r="8" ht="24" hidden="0" customHeight="1">
      <x:c r="A8" s="29" t="str">
        <x:v>Hạng mục</x:v>
      </x:c>
      <x:c r="B8" s="29" t="str">
        <x:v>Đề xuất ngắn gọn</x:v>
      </x:c>
      <x:c r="C8" s="29"/>
      <x:c r="D8" s="29"/>
      <x:c r="E8" s="29" t="str">
        <x:v>Ý nghĩa</x:v>
      </x:c>
      <x:c r="F8" s="29"/>
      <x:c r="G8" s="29"/>
      <x:c r="H8" s="29"/>
      <x:c r="I8" s="99"/>
      <x:c r="J8" s="99"/>
      <x:c r="K8" s="99"/>
      <x:c r="L8" s="99"/>
      <x:c r="M8" s="99"/>
      <x:c r="N8" s="99"/>
      <x:c r="O8" s="99"/>
      <x:c r="P8" s="99"/>
      <x:c r="Q8" s="99"/>
    </x:row>
    <x:row r="9" ht="24" hidden="0" customHeight="1">
      <x:c r="A9" s="31" t="str">
        <x:v>Khu vực</x:v>
      </x:c>
      <x:c r="B9" s="31" t="str">
        <x:v>01 khu vực ưu tiên có rủi ro và camera ổn định</x:v>
      </x:c>
      <x:c r="C9" s="31"/>
      <x:c r="D9" s="31"/>
      <x:c r="E9" s="31" t="str">
        <x:v>Giảm biến số, dễ đo hiệu quả</x:v>
      </x:c>
      <x:c r="F9" s="31"/>
      <x:c r="G9" s="31"/>
      <x:c r="H9" s="31"/>
      <x:c r="I9" s="99"/>
      <x:c r="J9" s="99"/>
      <x:c r="K9" s="99"/>
      <x:c r="L9" s="99"/>
      <x:c r="M9" s="99"/>
      <x:c r="N9" s="99"/>
      <x:c r="O9" s="99"/>
      <x:c r="P9" s="99"/>
      <x:c r="Q9" s="99"/>
    </x:row>
    <x:row r="10" ht="24" hidden="0" customHeight="1">
      <x:c r="A10" s="31" t="str">
        <x:v>Camera</x:v>
      </x:c>
      <x:c r="B10" s="31" t="str">
        <x:v>Khoảng 4–8 camera cho POC</x:v>
      </x:c>
      <x:c r="C10" s="31"/>
      <x:c r="D10" s="31"/>
      <x:c r="E10" s="31" t="str">
        <x:v>Là ví dụ lập ngân sách, không phải cấu hình bắt buộc</x:v>
      </x:c>
      <x:c r="F10" s="31"/>
      <x:c r="G10" s="31"/>
      <x:c r="H10" s="31"/>
      <x:c r="I10" s="99"/>
      <x:c r="J10" s="99"/>
      <x:c r="K10" s="99"/>
      <x:c r="L10" s="99"/>
      <x:c r="M10" s="99"/>
      <x:c r="N10" s="99"/>
      <x:c r="O10" s="99"/>
      <x:c r="P10" s="99"/>
      <x:c r="Q10" s="99"/>
    </x:row>
    <x:row r="11" ht="24" hidden="0" customHeight="1">
      <x:c r="A11" s="31" t="str">
        <x:v>Tình huống</x:v>
      </x:c>
      <x:c r="B11" s="31" t="str">
        <x:v>Chọn 1–3 tình huống: PPE, vùng cấm, người–xe nâng…</x:v>
      </x:c>
      <x:c r="C11" s="31"/>
      <x:c r="D11" s="31"/>
      <x:c r="E11" s="31" t="str">
        <x:v>Ưu tiên theo rủi ro và khả năng thu thập dữ liệu</x:v>
      </x:c>
      <x:c r="F11" s="31"/>
      <x:c r="G11" s="31"/>
      <x:c r="H11" s="31"/>
      <x:c r="I11" s="99"/>
      <x:c r="J11" s="99"/>
      <x:c r="K11" s="99"/>
      <x:c r="L11" s="99"/>
      <x:c r="M11" s="99"/>
      <x:c r="N11" s="99"/>
      <x:c r="O11" s="99"/>
      <x:c r="P11" s="99"/>
      <x:c r="Q11" s="99"/>
    </x:row>
    <x:row r="12" ht="15" hidden="0" customHeight="1">
      <x:c r="A12" s="99"/>
      <x:c r="B12" s="99"/>
      <x:c r="C12" s="99"/>
      <x:c r="D12" s="99"/>
      <x:c r="E12" s="99"/>
      <x:c r="F12" s="99"/>
      <x:c r="G12" s="99"/>
      <x:c r="H12" s="99"/>
      <x:c r="I12" s="99"/>
      <x:c r="J12" s="99"/>
      <x:c r="K12" s="99"/>
      <x:c r="L12" s="99"/>
      <x:c r="M12" s="99"/>
      <x:c r="N12" s="99"/>
      <x:c r="O12" s="99"/>
      <x:c r="P12" s="99"/>
      <x:c r="Q12" s="99"/>
    </x:row>
    <x:row r="13" ht="15" hidden="0" customHeight="1">
      <x:c r="A13" s="25" t="str">
        <x:v>2. Hệ thống thực tế cần thêm gì so với bản demo</x:v>
      </x:c>
      <x:c r="B13" s="25"/>
      <x:c r="C13" s="25"/>
      <x:c r="D13" s="25"/>
      <x:c r="E13" s="25"/>
      <x:c r="F13" s="25"/>
      <x:c r="G13" s="25"/>
      <x:c r="H13" s="25"/>
      <x:c r="I13" s="99"/>
      <x:c r="J13" s="99"/>
      <x:c r="K13" s="99"/>
      <x:c r="L13" s="99"/>
      <x:c r="M13" s="99"/>
      <x:c r="N13" s="99"/>
      <x:c r="O13" s="99"/>
      <x:c r="P13" s="99"/>
      <x:c r="Q13" s="99"/>
    </x:row>
    <x:row r="14" ht="15" hidden="0" customHeight="1">
      <x:c r="A14" s="29" t="str">
        <x:v>Nhóm</x:v>
      </x:c>
      <x:c r="B14" s="29" t="str">
        <x:v>Điểm chính</x:v>
      </x:c>
      <x:c r="C14" s="29"/>
      <x:c r="D14" s="29"/>
      <x:c r="E14" s="29" t="str">
        <x:v>Đầu ra cần có</x:v>
      </x:c>
      <x:c r="F14" s="29"/>
      <x:c r="G14" s="29"/>
      <x:c r="H14" s="29"/>
      <x:c r="I14" s="99"/>
      <x:c r="J14" s="99"/>
      <x:c r="K14" s="99"/>
      <x:c r="L14" s="99"/>
      <x:c r="M14" s="99"/>
      <x:c r="N14" s="99"/>
      <x:c r="O14" s="99"/>
      <x:c r="P14" s="99"/>
      <x:c r="Q14" s="99"/>
    </x:row>
    <x:row r="15" ht="24" hidden="0" customHeight="1">
      <x:c r="A15" s="31" t="str">
        <x:v>Dữ liệu</x:v>
      </x:c>
      <x:c r="B15" s="31" t="str">
        <x:v>Video thực tại xưởng, đủ ca/ngày/đêm và tình huống khó</x:v>
      </x:c>
      <x:c r="C15" s="31"/>
      <x:c r="D15" s="31"/>
      <x:c r="E15" s="31" t="str">
        <x:v>Bộ dữ liệu có quyền sử dụng và nhãn kiểm chứng</x:v>
      </x:c>
      <x:c r="F15" s="31"/>
      <x:c r="G15" s="31"/>
      <x:c r="H15" s="31"/>
      <x:c r="I15" s="99"/>
      <x:c r="J15" s="99"/>
      <x:c r="K15" s="99"/>
      <x:c r="L15" s="99"/>
      <x:c r="M15" s="99"/>
      <x:c r="N15" s="99"/>
      <x:c r="O15" s="99"/>
      <x:c r="P15" s="99"/>
      <x:c r="Q15" s="99"/>
    </x:row>
    <x:row r="16" ht="24" hidden="0" customHeight="1">
      <x:c r="A16" s="31" t="str">
        <x:v>Hạ tầng</x:v>
      </x:c>
      <x:c r="B16" s="31" t="str">
        <x:v>RTSP/VMS/NVR, băng thông, vùng đặt server và lưu trữ</x:v>
      </x:c>
      <x:c r="C16" s="31"/>
      <x:c r="D16" s="31"/>
      <x:c r="E16" s="31" t="str">
        <x:v>Sơ đồ camera–mạng–cloud và giới hạn vận hành</x:v>
      </x:c>
      <x:c r="F16" s="31"/>
      <x:c r="G16" s="31"/>
      <x:c r="H16" s="31"/>
      <x:c r="I16" s="99"/>
      <x:c r="J16" s="99"/>
      <x:c r="K16" s="99"/>
      <x:c r="L16" s="99"/>
      <x:c r="M16" s="99"/>
      <x:c r="N16" s="99"/>
      <x:c r="O16" s="99"/>
      <x:c r="P16" s="99"/>
      <x:c r="Q16" s="99"/>
    </x:row>
    <x:row r="17" ht="24" hidden="0" customHeight="1">
      <x:c r="A17" s="31" t="str">
        <x:v>AI</x:v>
      </x:c>
      <x:c r="B17" s="31" t="str">
        <x:v>Mô hình phải được đo trên video thật; có cơ chế chỉnh ngưỡng</x:v>
      </x:c>
      <x:c r="C17" s="31"/>
      <x:c r="D17" s="31"/>
      <x:c r="E17" s="31" t="str">
        <x:v>Báo cáo độ chính xác, cảnh báo sai và độ trễ</x:v>
      </x:c>
      <x:c r="F17" s="31"/>
      <x:c r="G17" s="31"/>
      <x:c r="H17" s="31"/>
      <x:c r="I17" s="99"/>
      <x:c r="J17" s="99"/>
      <x:c r="K17" s="99"/>
      <x:c r="L17" s="99"/>
      <x:c r="M17" s="99"/>
      <x:c r="N17" s="99"/>
      <x:c r="O17" s="99"/>
      <x:c r="P17" s="99"/>
      <x:c r="Q17" s="99"/>
    </x:row>
    <x:row r="18" ht="24" hidden="0" customHeight="1">
      <x:c r="A18" s="31" t="str">
        <x:v>Vận hành</x:v>
      </x:c>
      <x:c r="B18" s="31" t="str">
        <x:v>Người phụ trách xác nhận cảnh báo và xử lý sự cố</x:v>
      </x:c>
      <x:c r="C18" s="31"/>
      <x:c r="D18" s="31"/>
      <x:c r="E18" s="31" t="str">
        <x:v>Quy trình cảnh báo, phân quyền, nhật ký và lưu bằng chứng</x:v>
      </x:c>
      <x:c r="F18" s="31"/>
      <x:c r="G18" s="31"/>
      <x:c r="H18" s="31"/>
      <x:c r="I18" s="99"/>
      <x:c r="J18" s="99"/>
      <x:c r="K18" s="99"/>
      <x:c r="L18" s="99"/>
      <x:c r="M18" s="99"/>
      <x:c r="N18" s="99"/>
      <x:c r="O18" s="99"/>
      <x:c r="P18" s="99"/>
      <x:c r="Q18" s="99"/>
    </x:row>
    <x:row r="19" ht="15" hidden="0" customHeight="1">
      <x:c r="A19" s="99"/>
      <x:c r="B19" s="99"/>
      <x:c r="C19" s="99"/>
      <x:c r="D19" s="99"/>
      <x:c r="E19" s="99"/>
      <x:c r="F19" s="99"/>
      <x:c r="G19" s="99"/>
      <x:c r="H19" s="99"/>
      <x:c r="I19" s="99"/>
      <x:c r="J19" s="99"/>
      <x:c r="K19" s="99"/>
      <x:c r="L19" s="99"/>
      <x:c r="M19" s="99"/>
      <x:c r="N19" s="99"/>
      <x:c r="O19" s="99"/>
      <x:c r="P19" s="99"/>
      <x:c r="Q19" s="99"/>
    </x:row>
    <x:row r="20" ht="15" hidden="0" customHeight="1">
      <x:c r="A20" s="25" t="str">
        <x:v>3. Nguyên tắc kiến trúc và ngân sách</x:v>
      </x:c>
      <x:c r="B20" s="25"/>
      <x:c r="C20" s="25"/>
      <x:c r="D20" s="25"/>
      <x:c r="E20" s="25"/>
      <x:c r="F20" s="25"/>
      <x:c r="G20" s="25"/>
      <x:c r="H20" s="25"/>
      <x:c r="I20" s="99"/>
      <x:c r="J20" s="99"/>
      <x:c r="K20" s="99"/>
      <x:c r="L20" s="99"/>
      <x:c r="M20" s="99"/>
      <x:c r="N20" s="99"/>
      <x:c r="O20" s="99"/>
      <x:c r="P20" s="99"/>
      <x:c r="Q20" s="99"/>
    </x:row>
    <x:row r="21" ht="24" hidden="0" customHeight="1">
      <x:c r="A21" s="29" t="str">
        <x:v>Nguyên tắc</x:v>
      </x:c>
      <x:c r="B21" s="29" t="str">
        <x:v>Nội dung</x:v>
      </x:c>
      <x:c r="C21" s="29"/>
      <x:c r="D21" s="29"/>
      <x:c r="E21" s="29"/>
      <x:c r="F21" s="29"/>
      <x:c r="G21" s="29"/>
      <x:c r="H21" s="29"/>
      <x:c r="I21" s="99"/>
      <x:c r="J21" s="99"/>
      <x:c r="K21" s="99"/>
      <x:c r="L21" s="99"/>
      <x:c r="M21" s="99"/>
      <x:c r="N21" s="99"/>
      <x:c r="O21" s="99"/>
      <x:c r="P21" s="99"/>
      <x:c r="Q21" s="99"/>
    </x:row>
    <x:row r="22" ht="24" hidden="0" customHeight="1">
      <x:c r="A22" s="31" t="str">
        <x:v>Video</x:v>
      </x:c>
      <x:c r="B22" s="31" t="str">
        <x:v>Nên giữ luồng ghi hình liên tục tại NVR/VMS của xưởng; cloud chủ yếu nhận luồng cần xử lý và lưu bằng chứng sự kiện để kiểm soát chi phí.</x:v>
      </x:c>
      <x:c r="C22" s="31"/>
      <x:c r="D22" s="31"/>
      <x:c r="E22" s="31"/>
      <x:c r="F22" s="31"/>
      <x:c r="G22" s="31"/>
      <x:c r="H22" s="31"/>
      <x:c r="I22" s="99"/>
      <x:c r="J22" s="99"/>
      <x:c r="K22" s="99"/>
      <x:c r="L22" s="99"/>
      <x:c r="M22" s="99"/>
      <x:c r="N22" s="99"/>
      <x:c r="O22" s="99"/>
      <x:c r="P22" s="99"/>
      <x:c r="Q22" s="99"/>
    </x:row>
    <x:row r="23" ht="24" hidden="0" customHeight="1">
      <x:c r="A23" s="31" t="str">
        <x:v>Cloud</x:v>
      </x:c>
      <x:c r="B23" s="31" t="str">
        <x:v>Azure, AWS và GCP đều khả thi. Chênh lệch ước tính POC không lớn; nên ưu tiên nền tảng doanh nghiệp đang dùng, năng lực hỗ trợ và yêu cầu dữ liệu.</x:v>
      </x:c>
      <x:c r="C23" s="31"/>
      <x:c r="D23" s="31"/>
      <x:c r="E23" s="31"/>
      <x:c r="F23" s="31"/>
      <x:c r="G23" s="31"/>
      <x:c r="H23" s="31"/>
      <x:c r="I23" s="99"/>
      <x:c r="J23" s="99"/>
      <x:c r="K23" s="99"/>
      <x:c r="L23" s="99"/>
      <x:c r="M23" s="99"/>
      <x:c r="N23" s="99"/>
      <x:c r="O23" s="99"/>
      <x:c r="P23" s="99"/>
      <x:c r="Q23" s="99"/>
    </x:row>
    <x:row r="24" ht="36" hidden="0" customHeight="1">
      <x:c r="A24" s="31" t="str">
        <x:v>Con số</x:v>
      </x:c>
      <x:c r="B24" s="31" t="str">
        <x:v>Mọi số camera, cấu hình và chi phí trong file này là ví dụ lập kế hoạch. Giá cuối cần benchmark FPS/mô hình/video và lấy báo giá chính thức tại thời điểm triển khai.</x:v>
      </x:c>
      <x:c r="C24" s="31"/>
      <x:c r="D24" s="31"/>
      <x:c r="E24" s="31"/>
      <x:c r="F24" s="31"/>
      <x:c r="G24" s="31"/>
      <x:c r="H24" s="31"/>
      <x:c r="I24" s="99"/>
      <x:c r="J24" s="99"/>
      <x:c r="K24" s="99"/>
      <x:c r="L24" s="99"/>
      <x:c r="M24" s="99"/>
      <x:c r="N24" s="99"/>
      <x:c r="O24" s="99"/>
      <x:c r="P24" s="99"/>
      <x:c r="Q24" s="99"/>
    </x:row>
    <x:row r="25">
      <x:c r="A25" s="99"/>
      <x:c r="B25" s="99"/>
      <x:c r="C25" s="99"/>
      <x:c r="D25" s="99"/>
      <x:c r="E25" s="99"/>
      <x:c r="F25" s="99"/>
      <x:c r="G25" s="99"/>
      <x:c r="H25" s="99"/>
      <x:c r="I25" s="99"/>
      <x:c r="J25" s="99"/>
      <x:c r="K25" s="99"/>
      <x:c r="L25" s="99"/>
      <x:c r="M25" s="99"/>
      <x:c r="N25" s="99"/>
      <x:c r="O25" s="99"/>
      <x:c r="P25" s="99"/>
      <x:c r="Q25" s="99"/>
    </x:row>
    <x:row r="26">
      <x:c r="A26" s="99"/>
      <x:c r="B26" s="99"/>
      <x:c r="C26" s="99"/>
      <x:c r="D26" s="99"/>
      <x:c r="E26" s="99"/>
      <x:c r="F26" s="99"/>
      <x:c r="G26" s="99"/>
      <x:c r="H26" s="99"/>
      <x:c r="I26" s="99"/>
      <x:c r="J26" s="99"/>
      <x:c r="K26" s="99"/>
      <x:c r="L26" s="99"/>
      <x:c r="M26" s="99"/>
      <x:c r="N26" s="99"/>
      <x:c r="O26" s="99"/>
      <x:c r="P26" s="99"/>
      <x:c r="Q26" s="99"/>
    </x:row>
    <x:row r="27">
      <x:c r="A27" s="99"/>
      <x:c r="B27" s="99"/>
      <x:c r="C27" s="99"/>
      <x:c r="D27" s="99"/>
      <x:c r="E27" s="99"/>
      <x:c r="F27" s="99"/>
      <x:c r="G27" s="99"/>
      <x:c r="H27" s="99"/>
      <x:c r="I27" s="99"/>
      <x:c r="J27" s="99"/>
      <x:c r="K27" s="99"/>
      <x:c r="L27" s="99"/>
      <x:c r="M27" s="99"/>
      <x:c r="N27" s="99"/>
      <x:c r="O27" s="99"/>
      <x:c r="P27" s="99"/>
      <x:c r="Q27" s="99"/>
    </x:row>
    <x:row r="28">
      <x:c r="A28" s="99"/>
      <x:c r="B28" s="99"/>
      <x:c r="C28" s="99"/>
      <x:c r="D28" s="99"/>
      <x:c r="E28" s="99"/>
      <x:c r="F28" s="99"/>
      <x:c r="G28" s="99"/>
      <x:c r="H28" s="99"/>
      <x:c r="I28" s="99"/>
      <x:c r="J28" s="99"/>
      <x:c r="K28" s="99"/>
      <x:c r="L28" s="99"/>
      <x:c r="M28" s="99"/>
      <x:c r="N28" s="99"/>
      <x:c r="O28" s="99"/>
      <x:c r="P28" s="99"/>
      <x:c r="Q28" s="99"/>
    </x:row>
    <x:row r="29">
      <x:c r="A29" s="99"/>
      <x:c r="B29" s="99"/>
      <x:c r="C29" s="99"/>
      <x:c r="D29" s="99"/>
      <x:c r="E29" s="99"/>
      <x:c r="F29" s="99"/>
      <x:c r="G29" s="99"/>
      <x:c r="H29" s="99"/>
      <x:c r="I29" s="99"/>
      <x:c r="J29" s="99"/>
      <x:c r="K29" s="99"/>
      <x:c r="L29" s="99"/>
      <x:c r="M29" s="99"/>
      <x:c r="N29" s="99"/>
      <x:c r="O29" s="99"/>
      <x:c r="P29" s="99"/>
      <x:c r="Q29" s="99"/>
    </x:row>
    <x:row r="30">
      <x:c r="A30" s="99"/>
      <x:c r="B30" s="99"/>
      <x:c r="C30" s="99"/>
      <x:c r="D30" s="99"/>
      <x:c r="E30" s="99"/>
      <x:c r="F30" s="99"/>
      <x:c r="G30" s="99"/>
      <x:c r="H30" s="99"/>
      <x:c r="I30" s="99"/>
      <x:c r="J30" s="99"/>
      <x:c r="K30" s="99"/>
      <x:c r="L30" s="99"/>
      <x:c r="M30" s="99"/>
      <x:c r="N30" s="99"/>
      <x:c r="O30" s="99"/>
      <x:c r="P30" s="99"/>
      <x:c r="Q30" s="99"/>
    </x:row>
    <x:row r="31">
      <x:c r="A31" s="99"/>
      <x:c r="B31" s="99"/>
      <x:c r="C31" s="99"/>
      <x:c r="D31" s="99"/>
      <x:c r="E31" s="99"/>
      <x:c r="F31" s="99"/>
      <x:c r="G31" s="99"/>
      <x:c r="H31" s="99"/>
      <x:c r="I31" s="99"/>
      <x:c r="J31" s="99"/>
      <x:c r="K31" s="99"/>
      <x:c r="L31" s="99"/>
      <x:c r="M31" s="99"/>
      <x:c r="N31" s="99"/>
      <x:c r="O31" s="99"/>
      <x:c r="P31" s="99"/>
      <x:c r="Q31" s="99"/>
    </x:row>
    <x:row r="32">
      <x:c r="A32" s="99"/>
      <x:c r="B32" s="99"/>
      <x:c r="C32" s="99"/>
      <x:c r="D32" s="99"/>
      <x:c r="E32" s="99"/>
      <x:c r="F32" s="99"/>
      <x:c r="G32" s="99"/>
      <x:c r="H32" s="99"/>
      <x:c r="I32" s="99"/>
      <x:c r="J32" s="99"/>
      <x:c r="K32" s="99"/>
      <x:c r="L32" s="99"/>
      <x:c r="M32" s="99"/>
      <x:c r="N32" s="99"/>
      <x:c r="O32" s="99"/>
      <x:c r="P32" s="99"/>
      <x:c r="Q32" s="99"/>
    </x:row>
    <x:row r="33">
      <x:c r="A33" s="99"/>
      <x:c r="B33" s="99"/>
      <x:c r="C33" s="99"/>
      <x:c r="D33" s="99"/>
      <x:c r="E33" s="99"/>
      <x:c r="F33" s="99"/>
      <x:c r="G33" s="99"/>
      <x:c r="H33" s="99"/>
      <x:c r="I33" s="99"/>
      <x:c r="J33" s="99"/>
      <x:c r="K33" s="99"/>
      <x:c r="L33" s="99"/>
      <x:c r="M33" s="99"/>
      <x:c r="N33" s="99"/>
      <x:c r="O33" s="99"/>
      <x:c r="P33" s="99"/>
      <x:c r="Q33" s="99"/>
    </x:row>
    <x:row r="34">
      <x:c r="A34" s="99"/>
      <x:c r="B34" s="99"/>
      <x:c r="C34" s="99"/>
      <x:c r="D34" s="99"/>
      <x:c r="E34" s="99"/>
      <x:c r="F34" s="99"/>
      <x:c r="G34" s="99"/>
      <x:c r="H34" s="99"/>
      <x:c r="I34" s="99"/>
      <x:c r="J34" s="99"/>
      <x:c r="K34" s="99"/>
      <x:c r="L34" s="99"/>
      <x:c r="M34" s="99"/>
      <x:c r="N34" s="99"/>
      <x:c r="O34" s="99"/>
      <x:c r="P34" s="99"/>
      <x:c r="Q34" s="99"/>
    </x:row>
    <x:row r="35">
      <x:c r="A35" s="99"/>
      <x:c r="B35" s="99"/>
      <x:c r="C35" s="99"/>
      <x:c r="D35" s="99"/>
      <x:c r="E35" s="99"/>
      <x:c r="F35" s="99"/>
      <x:c r="G35" s="99"/>
      <x:c r="H35" s="99"/>
      <x:c r="I35" s="99"/>
      <x:c r="J35" s="99"/>
      <x:c r="K35" s="99"/>
      <x:c r="L35" s="99"/>
      <x:c r="M35" s="99"/>
      <x:c r="N35" s="99"/>
      <x:c r="O35" s="99"/>
      <x:c r="P35" s="99"/>
      <x:c r="Q35" s="99"/>
    </x:row>
    <x:row r="36">
      <x:c r="A36" s="99"/>
      <x:c r="B36" s="99"/>
      <x:c r="C36" s="99"/>
      <x:c r="D36" s="99"/>
      <x:c r="E36" s="99"/>
      <x:c r="F36" s="99"/>
      <x:c r="G36" s="99"/>
      <x:c r="H36" s="99"/>
      <x:c r="I36" s="99"/>
      <x:c r="J36" s="99"/>
      <x:c r="K36" s="99"/>
      <x:c r="L36" s="99"/>
      <x:c r="M36" s="99"/>
      <x:c r="N36" s="99"/>
      <x:c r="O36" s="99"/>
      <x:c r="P36" s="99"/>
      <x:c r="Q36" s="99"/>
    </x:row>
    <x:row r="37">
      <x:c r="A37" s="99"/>
      <x:c r="B37" s="99"/>
      <x:c r="C37" s="99"/>
      <x:c r="D37" s="99"/>
      <x:c r="E37" s="99"/>
      <x:c r="F37" s="99"/>
      <x:c r="G37" s="99"/>
      <x:c r="H37" s="99"/>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row r="61">
      <x:c r="A61" s="99"/>
      <x:c r="B61" s="99"/>
      <x:c r="C61" s="99"/>
      <x:c r="D61" s="99"/>
      <x:c r="E61" s="99"/>
      <x:c r="F61" s="99"/>
      <x:c r="G61" s="99"/>
      <x:c r="H61" s="99"/>
      <x:c r="I61" s="99"/>
      <x:c r="J61" s="99"/>
      <x:c r="K61" s="99"/>
      <x:c r="L61" s="99"/>
      <x:c r="M61" s="99"/>
      <x:c r="N61" s="99"/>
      <x:c r="O61" s="99"/>
      <x:c r="P61" s="99"/>
      <x:c r="Q61" s="99"/>
    </x:row>
    <x:row r="62">
      <x:c r="A62" s="99"/>
      <x:c r="B62" s="99"/>
      <x:c r="C62" s="99"/>
      <x:c r="D62" s="99"/>
      <x:c r="E62" s="99"/>
      <x:c r="F62" s="99"/>
      <x:c r="G62" s="99"/>
      <x:c r="H62" s="99"/>
      <x:c r="I62" s="99"/>
      <x:c r="J62" s="99"/>
      <x:c r="K62" s="99"/>
      <x:c r="L62" s="99"/>
      <x:c r="M62" s="99"/>
      <x:c r="N62" s="99"/>
      <x:c r="O62" s="99"/>
      <x:c r="P62" s="99"/>
      <x:c r="Q62" s="99"/>
    </x:row>
    <x:row r="63">
      <x:c r="A63" s="99"/>
      <x:c r="B63" s="99"/>
      <x:c r="C63" s="99"/>
      <x:c r="D63" s="99"/>
      <x:c r="E63" s="99"/>
      <x:c r="F63" s="99"/>
      <x:c r="G63" s="99"/>
      <x:c r="H63" s="99"/>
      <x:c r="I63" s="99"/>
      <x:c r="J63" s="99"/>
      <x:c r="K63" s="99"/>
      <x:c r="L63" s="99"/>
      <x:c r="M63" s="99"/>
      <x:c r="N63" s="99"/>
      <x:c r="O63" s="99"/>
      <x:c r="P63" s="99"/>
      <x:c r="Q63" s="99"/>
    </x:row>
    <x:row r="64">
      <x:c r="A64" s="99"/>
      <x:c r="B64" s="99"/>
      <x:c r="C64" s="99"/>
      <x:c r="D64" s="99"/>
      <x:c r="E64" s="99"/>
      <x:c r="F64" s="99"/>
      <x:c r="G64" s="99"/>
      <x:c r="H64" s="99"/>
      <x:c r="I64" s="99"/>
      <x:c r="J64" s="99"/>
      <x:c r="K64" s="99"/>
      <x:c r="L64" s="99"/>
      <x:c r="M64" s="99"/>
      <x:c r="N64" s="99"/>
      <x:c r="O64" s="99"/>
      <x:c r="P64" s="99"/>
      <x:c r="Q64" s="99"/>
    </x:row>
    <x:row r="65">
      <x:c r="A65" s="99"/>
      <x:c r="B65" s="99"/>
      <x:c r="C65" s="99"/>
      <x:c r="D65" s="99"/>
      <x:c r="E65" s="99"/>
      <x:c r="F65" s="99"/>
      <x:c r="G65" s="99"/>
      <x:c r="H65" s="99"/>
      <x:c r="I65" s="99"/>
      <x:c r="J65" s="99"/>
      <x:c r="K65" s="99"/>
      <x:c r="L65" s="99"/>
      <x:c r="M65" s="99"/>
      <x:c r="N65" s="99"/>
      <x:c r="O65" s="99"/>
      <x:c r="P65" s="99"/>
      <x:c r="Q65" s="99"/>
    </x:row>
    <x:row r="66">
      <x:c r="A66" s="99"/>
      <x:c r="B66" s="99"/>
      <x:c r="C66" s="99"/>
      <x:c r="D66" s="99"/>
      <x:c r="E66" s="99"/>
      <x:c r="F66" s="99"/>
      <x:c r="G66" s="99"/>
      <x:c r="H66" s="99"/>
      <x:c r="I66" s="99"/>
      <x:c r="J66" s="99"/>
      <x:c r="K66" s="99"/>
      <x:c r="L66" s="99"/>
      <x:c r="M66" s="99"/>
      <x:c r="N66" s="99"/>
      <x:c r="O66" s="99"/>
      <x:c r="P66" s="99"/>
      <x:c r="Q66" s="99"/>
    </x:row>
    <x:row r="67">
      <x:c r="A67" s="99"/>
      <x:c r="B67" s="99"/>
      <x:c r="C67" s="99"/>
      <x:c r="D67" s="99"/>
      <x:c r="E67" s="99"/>
      <x:c r="F67" s="99"/>
      <x:c r="G67" s="99"/>
      <x:c r="H67" s="99"/>
      <x:c r="I67" s="99"/>
      <x:c r="J67" s="99"/>
      <x:c r="K67" s="99"/>
      <x:c r="L67" s="99"/>
      <x:c r="M67" s="99"/>
      <x:c r="N67" s="99"/>
      <x:c r="O67" s="99"/>
      <x:c r="P67" s="99"/>
      <x:c r="Q67" s="99"/>
    </x:row>
    <x:row r="68">
      <x:c r="A68" s="99"/>
      <x:c r="B68" s="99"/>
      <x:c r="C68" s="99"/>
      <x:c r="D68" s="99"/>
      <x:c r="E68" s="99"/>
      <x:c r="F68" s="99"/>
      <x:c r="G68" s="99"/>
      <x:c r="H68" s="99"/>
      <x:c r="I68" s="99"/>
      <x:c r="J68" s="99"/>
      <x:c r="K68" s="99"/>
      <x:c r="L68" s="99"/>
      <x:c r="M68" s="99"/>
      <x:c r="N68" s="99"/>
      <x:c r="O68" s="99"/>
      <x:c r="P68" s="99"/>
      <x:c r="Q68" s="99"/>
    </x:row>
    <x:row r="69">
      <x:c r="A69" s="99"/>
      <x:c r="B69" s="99"/>
      <x:c r="C69" s="99"/>
      <x:c r="D69" s="99"/>
      <x:c r="E69" s="99"/>
      <x:c r="F69" s="99"/>
      <x:c r="G69" s="99"/>
      <x:c r="H69" s="99"/>
      <x:c r="I69" s="99"/>
      <x:c r="J69" s="99"/>
      <x:c r="K69" s="99"/>
      <x:c r="L69" s="99"/>
      <x:c r="M69" s="99"/>
      <x:c r="N69" s="99"/>
      <x:c r="O69" s="99"/>
      <x:c r="P69" s="99"/>
      <x:c r="Q69" s="99"/>
    </x:row>
    <x:row r="70">
      <x:c r="A70" s="99"/>
      <x:c r="B70" s="99"/>
      <x:c r="C70" s="99"/>
      <x:c r="D70" s="99"/>
      <x:c r="E70" s="99"/>
      <x:c r="F70" s="99"/>
      <x:c r="G70" s="99"/>
      <x:c r="H70" s="99"/>
      <x:c r="I70" s="99"/>
      <x:c r="J70" s="99"/>
      <x:c r="K70" s="99"/>
      <x:c r="L70" s="99"/>
      <x:c r="M70" s="99"/>
      <x:c r="N70" s="99"/>
      <x:c r="O70" s="99"/>
      <x:c r="P70" s="99"/>
      <x:c r="Q70" s="99"/>
    </x:row>
    <x:row r="71">
      <x:c r="A71" s="99"/>
      <x:c r="B71" s="99"/>
      <x:c r="C71" s="99"/>
      <x:c r="D71" s="99"/>
      <x:c r="E71" s="99"/>
      <x:c r="F71" s="99"/>
      <x:c r="G71" s="99"/>
      <x:c r="H71" s="99"/>
      <x:c r="I71" s="99"/>
      <x:c r="J71" s="99"/>
      <x:c r="K71" s="99"/>
      <x:c r="L71" s="99"/>
      <x:c r="M71" s="99"/>
      <x:c r="N71" s="99"/>
      <x:c r="O71" s="99"/>
      <x:c r="P71" s="99"/>
      <x:c r="Q71" s="99"/>
    </x:row>
    <x:row r="72">
      <x:c r="A72" s="99"/>
      <x:c r="B72" s="99"/>
      <x:c r="C72" s="99"/>
      <x:c r="D72" s="99"/>
      <x:c r="E72" s="99"/>
      <x:c r="F72" s="99"/>
      <x:c r="G72" s="99"/>
      <x:c r="H72" s="99"/>
      <x:c r="I72" s="99"/>
      <x:c r="J72" s="99"/>
      <x:c r="K72" s="99"/>
      <x:c r="L72" s="99"/>
      <x:c r="M72" s="99"/>
      <x:c r="N72" s="99"/>
      <x:c r="O72" s="99"/>
      <x:c r="P72" s="99"/>
      <x:c r="Q72" s="99"/>
    </x:row>
    <x:row r="73">
      <x:c r="A73" s="99"/>
      <x:c r="B73" s="99"/>
      <x:c r="C73" s="99"/>
      <x:c r="D73" s="99"/>
      <x:c r="E73" s="99"/>
      <x:c r="F73" s="99"/>
      <x:c r="G73" s="99"/>
      <x:c r="H73" s="99"/>
      <x:c r="I73" s="99"/>
      <x:c r="J73" s="99"/>
      <x:c r="K73" s="99"/>
      <x:c r="L73" s="99"/>
      <x:c r="M73" s="99"/>
      <x:c r="N73" s="99"/>
      <x:c r="O73" s="99"/>
      <x:c r="P73" s="99"/>
      <x:c r="Q73" s="99"/>
    </x:row>
    <x:row r="74">
      <x:c r="A74" s="99"/>
      <x:c r="B74" s="99"/>
      <x:c r="C74" s="99"/>
      <x:c r="D74" s="99"/>
      <x:c r="E74" s="99"/>
      <x:c r="F74" s="99"/>
      <x:c r="G74" s="99"/>
      <x:c r="H74" s="99"/>
      <x:c r="I74" s="99"/>
      <x:c r="J74" s="99"/>
      <x:c r="K74" s="99"/>
      <x:c r="L74" s="99"/>
      <x:c r="M74" s="99"/>
      <x:c r="N74" s="99"/>
      <x:c r="O74" s="99"/>
      <x:c r="P74" s="99"/>
      <x:c r="Q74" s="99"/>
    </x:row>
    <x:row r="75">
      <x:c r="A75" s="99"/>
      <x:c r="B75" s="99"/>
      <x:c r="C75" s="99"/>
      <x:c r="D75" s="99"/>
      <x:c r="E75" s="99"/>
      <x:c r="F75" s="99"/>
      <x:c r="G75" s="99"/>
      <x:c r="H75" s="99"/>
      <x:c r="I75" s="99"/>
      <x:c r="J75" s="99"/>
      <x:c r="K75" s="99"/>
      <x:c r="L75" s="99"/>
      <x:c r="M75" s="99"/>
      <x:c r="N75" s="99"/>
      <x:c r="O75" s="99"/>
      <x:c r="P75" s="99"/>
      <x:c r="Q75" s="99"/>
    </x:row>
    <x:row r="76">
      <x:c r="A76" s="99"/>
      <x:c r="B76" s="99"/>
      <x:c r="C76" s="99"/>
      <x:c r="D76" s="99"/>
      <x:c r="E76" s="99"/>
      <x:c r="F76" s="99"/>
      <x:c r="G76" s="99"/>
      <x:c r="H76" s="99"/>
      <x:c r="I76" s="99"/>
      <x:c r="J76" s="99"/>
      <x:c r="K76" s="99"/>
      <x:c r="L76" s="99"/>
      <x:c r="M76" s="99"/>
      <x:c r="N76" s="99"/>
      <x:c r="O76" s="99"/>
      <x:c r="P76" s="99"/>
      <x:c r="Q76" s="99"/>
    </x:row>
    <x:row r="77">
      <x:c r="A77" s="99"/>
      <x:c r="B77" s="99"/>
      <x:c r="C77" s="99"/>
      <x:c r="D77" s="99"/>
      <x:c r="E77" s="99"/>
      <x:c r="F77" s="99"/>
      <x:c r="G77" s="99"/>
      <x:c r="H77" s="99"/>
      <x:c r="I77" s="99"/>
      <x:c r="J77" s="99"/>
      <x:c r="K77" s="99"/>
      <x:c r="L77" s="99"/>
      <x:c r="M77" s="99"/>
      <x:c r="N77" s="99"/>
      <x:c r="O77" s="99"/>
      <x:c r="P77" s="99"/>
      <x:c r="Q77" s="99"/>
    </x:row>
    <x:row r="78">
      <x:c r="A78" s="99"/>
      <x:c r="B78" s="99"/>
      <x:c r="C78" s="99"/>
      <x:c r="D78" s="99"/>
      <x:c r="E78" s="99"/>
      <x:c r="F78" s="99"/>
      <x:c r="G78" s="99"/>
      <x:c r="H78" s="99"/>
      <x:c r="I78" s="99"/>
      <x:c r="J78" s="99"/>
      <x:c r="K78" s="99"/>
      <x:c r="L78" s="99"/>
      <x:c r="M78" s="99"/>
      <x:c r="N78" s="99"/>
      <x:c r="O78" s="99"/>
      <x:c r="P78" s="99"/>
      <x:c r="Q78" s="99"/>
    </x:row>
    <x:row r="79">
      <x:c r="A79" s="99"/>
      <x:c r="B79" s="99"/>
      <x:c r="C79" s="99"/>
      <x:c r="D79" s="99"/>
      <x:c r="E79" s="99"/>
      <x:c r="F79" s="99"/>
      <x:c r="G79" s="99"/>
      <x:c r="H79" s="99"/>
      <x:c r="I79" s="99"/>
      <x:c r="J79" s="99"/>
      <x:c r="K79" s="99"/>
      <x:c r="L79" s="99"/>
      <x:c r="M79" s="99"/>
      <x:c r="N79" s="99"/>
      <x:c r="O79" s="99"/>
      <x:c r="P79" s="99"/>
      <x:c r="Q79" s="99"/>
    </x:row>
    <x:row r="80">
      <x:c r="A80" s="99"/>
      <x:c r="B80" s="99"/>
      <x:c r="C80" s="99"/>
      <x:c r="D80" s="99"/>
      <x:c r="E80" s="99"/>
      <x:c r="F80" s="99"/>
      <x:c r="G80" s="99"/>
      <x:c r="H80" s="99"/>
      <x:c r="I80" s="99"/>
      <x:c r="J80" s="99"/>
      <x:c r="K80" s="99"/>
      <x:c r="L80" s="99"/>
      <x:c r="M80" s="99"/>
      <x:c r="N80" s="99"/>
      <x:c r="O80" s="99"/>
      <x:c r="P80" s="99"/>
      <x:c r="Q80" s="99"/>
    </x:row>
  </x:sheetData>
  <x:mergeCells>
    <x:mergeCell ref="A1:H1"/>
    <x:mergeCell ref="A2:H2"/>
    <x:mergeCell ref="A4:H5"/>
    <x:mergeCell ref="A7:H7"/>
    <x:mergeCell ref="B8:D8"/>
    <x:mergeCell ref="E8:H8"/>
    <x:mergeCell ref="B9:D9"/>
    <x:mergeCell ref="E9:H9"/>
    <x:mergeCell ref="B10:D10"/>
    <x:mergeCell ref="E10:H10"/>
    <x:mergeCell ref="B11:D11"/>
    <x:mergeCell ref="E11:H11"/>
    <x:mergeCell ref="A13:H13"/>
    <x:mergeCell ref="B14:D14"/>
    <x:mergeCell ref="E14:H14"/>
    <x:mergeCell ref="B15:D15"/>
    <x:mergeCell ref="E15:H15"/>
    <x:mergeCell ref="B16:D16"/>
    <x:mergeCell ref="E16:H16"/>
    <x:mergeCell ref="B17:D17"/>
    <x:mergeCell ref="E17:H17"/>
    <x:mergeCell ref="B18:D18"/>
    <x:mergeCell ref="E18:H18"/>
    <x:mergeCell ref="A20:H20"/>
    <x:mergeCell ref="B21:H21"/>
    <x:mergeCell ref="B22:H22"/>
    <x:mergeCell ref="B23:H23"/>
    <x:mergeCell ref="B24:H24"/>
  </x:mergeCells>
  <x:pageMargins left="0.7" right="0.7" top="0.75" bottom="0.75" header="0.3" footer="0.3"/>
</x:worksheet>
</file>

<file path=xl/worksheets/sheet2.xml><?xml version="1.0" encoding="utf-8"?>
<x:worksheet xmlns:x="http://schemas.openxmlformats.org/spreadsheetml/2006/main">
  <x:sheetPr>
    <x:tabColor rgb="FFD69E2E"/>
  </x:sheetPr>
  <x:sheetViews>
    <x:sheetView showGridLines="0" workbookViewId="0">
      <x:pane ySplit="4" topLeftCell="A5" activePane="bottomLeft" state="frozen"/>
    </x:sheetView>
  </x:sheetViews>
  <x:sheetFormatPr defaultRowHeight="15"/>
  <x:cols>
    <x:col min="1" max="1" width="11" hidden="0" customWidth="1"/>
    <x:col min="2" max="2" width="16" hidden="0" customWidth="1"/>
    <x:col min="3" max="3" width="16" hidden="0" customWidth="1"/>
    <x:col min="4" max="4" width="16" hidden="0" customWidth="1"/>
    <x:col min="5" max="5" width="17" hidden="0" customWidth="1"/>
    <x:col min="6" max="6" width="17" hidden="0" customWidth="1"/>
    <x:col min="7" max="7" width="17" hidden="0" customWidth="1"/>
    <x:col min="8" max="8" width="18" hidden="0" customWidth="1"/>
    <x:col min="9" max="9" width="18" hidden="0" customWidth="1"/>
  </x:cols>
  <x:sheetData>
    <x:row r="1" ht="21.600000381469727" hidden="0" customHeight="1">
      <x:c r="A1" s="5" t="str">
        <x:v>DỮ LIỆU CẦN CÓ VÀ CÁC CÔNG VIỆC ĐỀ XUẤT</x:v>
      </x:c>
      <x:c r="B1" s="5"/>
      <x:c r="C1" s="5"/>
      <x:c r="D1" s="5"/>
      <x:c r="E1" s="5"/>
      <x:c r="F1" s="5"/>
      <x:c r="G1" s="5"/>
      <x:c r="H1" s="5"/>
      <x:c r="I1" s="5"/>
      <x:c r="J1" s="99"/>
      <x:c r="K1" s="99"/>
      <x:c r="L1" s="99"/>
      <x:c r="M1" s="99"/>
      <x:c r="N1" s="99"/>
      <x:c r="O1" s="99"/>
      <x:c r="P1" s="99"/>
      <x:c r="Q1" s="99"/>
    </x:row>
    <x:row r="2" ht="15" hidden="0" customHeight="1">
      <x:c r="A2" s="8" t="str">
        <x:v>Các mục dưới đây là ví dụ để lập kế hoạch; phạm vi cuối được xác nhận sau khảo sát xưởng.</x:v>
      </x:c>
      <x:c r="B2" s="8"/>
      <x:c r="C2" s="8"/>
      <x:c r="D2" s="8"/>
      <x:c r="E2" s="8"/>
      <x:c r="F2" s="8"/>
      <x:c r="G2" s="8"/>
      <x:c r="H2" s="8"/>
      <x:c r="I2" s="8"/>
      <x:c r="J2" s="99"/>
      <x:c r="K2" s="99"/>
      <x:c r="L2" s="99"/>
      <x:c r="M2" s="99"/>
      <x:c r="N2" s="99"/>
      <x:c r="O2" s="99"/>
      <x:c r="P2" s="99"/>
      <x:c r="Q2" s="99"/>
    </x:row>
    <x:row r="3" ht="15" hidden="0" customHeight="1">
      <x:c r="A3" s="99"/>
      <x:c r="B3" s="99"/>
      <x:c r="C3" s="99"/>
      <x:c r="D3" s="99"/>
      <x:c r="E3" s="99"/>
      <x:c r="F3" s="99"/>
      <x:c r="G3" s="99"/>
      <x:c r="H3" s="99"/>
      <x:c r="I3" s="99"/>
      <x:c r="J3" s="99"/>
      <x:c r="K3" s="99"/>
      <x:c r="L3" s="99"/>
      <x:c r="M3" s="99"/>
      <x:c r="N3" s="99"/>
      <x:c r="O3" s="99"/>
      <x:c r="P3" s="99"/>
      <x:c r="Q3" s="99"/>
    </x:row>
    <x:row r="4" ht="15" hidden="0" customHeight="1">
      <x:c r="A4" s="25" t="str">
        <x:v>1. Dữ liệu/thông tin cần thu thập</x:v>
      </x:c>
      <x:c r="B4" s="25"/>
      <x:c r="C4" s="25"/>
      <x:c r="D4" s="25"/>
      <x:c r="E4" s="25"/>
      <x:c r="F4" s="25"/>
      <x:c r="G4" s="25"/>
      <x:c r="H4" s="25"/>
      <x:c r="I4" s="25"/>
      <x:c r="J4" s="99"/>
      <x:c r="K4" s="99"/>
      <x:c r="L4" s="99"/>
      <x:c r="M4" s="99"/>
      <x:c r="N4" s="99"/>
      <x:c r="O4" s="99"/>
      <x:c r="P4" s="99"/>
      <x:c r="Q4" s="99"/>
    </x:row>
    <x:row r="5" ht="24" hidden="0" customHeight="1">
      <x:c r="A5" s="29" t="str">
        <x:v>#</x:v>
      </x:c>
      <x:c r="B5" s="29" t="str">
        <x:v>Nhóm</x:v>
      </x:c>
      <x:c r="C5" s="29" t="str">
        <x:v>Cần thu thập</x:v>
      </x:c>
      <x:c r="D5" s="29"/>
      <x:c r="E5" s="29"/>
      <x:c r="F5" s="29" t="str">
        <x:v>Dùng để làm gì</x:v>
      </x:c>
      <x:c r="G5" s="29"/>
      <x:c r="H5" s="29"/>
      <x:c r="I5" s="29" t="str">
        <x:v>Chủ trì gợi ý</x:v>
      </x:c>
      <x:c r="J5" s="99"/>
      <x:c r="K5" s="99"/>
      <x:c r="L5" s="99"/>
      <x:c r="M5" s="99"/>
      <x:c r="N5" s="99"/>
      <x:c r="O5" s="99"/>
      <x:c r="P5" s="99"/>
      <x:c r="Q5" s="99"/>
    </x:row>
    <x:row r="6" ht="24" hidden="0" customHeight="1">
      <x:c r="A6" s="31" t="n">
        <x:v>1</x:v>
      </x:c>
      <x:c r="B6" s="31" t="str">
        <x:v>Quy tắc an toàn</x:v>
      </x:c>
      <x:c r="C6" s="31" t="str">
        <x:v>Khu vực hạn chế, PPE bắt buộc, điều kiện tạo cảnh báo</x:v>
      </x:c>
      <x:c r="D6" s="31"/>
      <x:c r="E6" s="31"/>
      <x:c r="F6" s="31" t="str">
        <x:v>Chuyển quy định thành luật hệ thống</x:v>
      </x:c>
      <x:c r="G6" s="31"/>
      <x:c r="H6" s="31"/>
      <x:c r="I6" s="31" t="str">
        <x:v>EHS/Sản xuất</x:v>
      </x:c>
      <x:c r="J6" s="99"/>
      <x:c r="K6" s="99"/>
      <x:c r="L6" s="99"/>
      <x:c r="M6" s="99"/>
      <x:c r="N6" s="99"/>
      <x:c r="O6" s="99"/>
      <x:c r="P6" s="99"/>
      <x:c r="Q6" s="99"/>
    </x:row>
    <x:row r="7" ht="24" hidden="0" customHeight="1">
      <x:c r="A7" s="31" t="n">
        <x:v>2</x:v>
      </x:c>
      <x:c r="B7" s="31" t="str">
        <x:v>Camera</x:v>
      </x:c>
      <x:c r="C7" s="31" t="str">
        <x:v>Vị trí, góc nhìn, độ phân giải, FPS, RTSP/VMS/NVR</x:v>
      </x:c>
      <x:c r="D7" s="31"/>
      <x:c r="E7" s="31"/>
      <x:c r="F7" s="31" t="str">
        <x:v>Kiểm tra camera có phù hợp cho AI</x:v>
      </x:c>
      <x:c r="G7" s="31"/>
      <x:c r="H7" s="31"/>
      <x:c r="I7" s="31" t="str">
        <x:v>IT/An ninh</x:v>
      </x:c>
      <x:c r="J7" s="99"/>
      <x:c r="K7" s="99"/>
      <x:c r="L7" s="99"/>
      <x:c r="M7" s="99"/>
      <x:c r="N7" s="99"/>
      <x:c r="O7" s="99"/>
      <x:c r="P7" s="99"/>
      <x:c r="Q7" s="99"/>
    </x:row>
    <x:row r="8" ht="36" hidden="0" customHeight="1">
      <x:c r="A8" s="31" t="n">
        <x:v>3</x:v>
      </x:c>
      <x:c r="B8" s="31" t="str">
        <x:v>Video mẫu</x:v>
      </x:c>
      <x:c r="C8" s="31" t="str">
        <x:v>Ngày/đêm, nhiều ca, đông người, che khuất, sự kiện thật/diễn tập</x:v>
      </x:c>
      <x:c r="D8" s="31"/>
      <x:c r="E8" s="31"/>
      <x:c r="F8" s="31" t="str">
        <x:v>Huấn luyện, tinh chỉnh và kiểm thử</x:v>
      </x:c>
      <x:c r="G8" s="31"/>
      <x:c r="H8" s="31"/>
      <x:c r="I8" s="31" t="str">
        <x:v>Nhà máy + AI</x:v>
      </x:c>
      <x:c r="J8" s="99"/>
      <x:c r="K8" s="99"/>
      <x:c r="L8" s="99"/>
      <x:c r="M8" s="99"/>
      <x:c r="N8" s="99"/>
      <x:c r="O8" s="99"/>
      <x:c r="P8" s="99"/>
      <x:c r="Q8" s="99"/>
    </x:row>
    <x:row r="9" ht="24" hidden="0" customHeight="1">
      <x:c r="A9" s="31" t="n">
        <x:v>4</x:v>
      </x:c>
      <x:c r="B9" s="31" t="str">
        <x:v>Nhãn dữ liệu</x:v>
      </x:c>
      <x:c r="C9" s="31" t="str">
        <x:v>Khung người/PPE/xe, vùng quan tâm và thời điểm vi phạm</x:v>
      </x:c>
      <x:c r="D9" s="31"/>
      <x:c r="E9" s="31"/>
      <x:c r="F9" s="31" t="str">
        <x:v>Tạo chuẩn đúng–sai để đo mô hình</x:v>
      </x:c>
      <x:c r="G9" s="31"/>
      <x:c r="H9" s="31"/>
      <x:c r="I9" s="31" t="str">
        <x:v>AI + nghiệp vụ</x:v>
      </x:c>
      <x:c r="J9" s="99"/>
      <x:c r="K9" s="99"/>
      <x:c r="L9" s="99"/>
      <x:c r="M9" s="99"/>
      <x:c r="N9" s="99"/>
      <x:c r="O9" s="99"/>
      <x:c r="P9" s="99"/>
      <x:c r="Q9" s="99"/>
    </x:row>
    <x:row r="10" ht="24" hidden="0" customHeight="1">
      <x:c r="A10" s="31" t="n">
        <x:v>5</x:v>
      </x:c>
      <x:c r="B10" s="31" t="str">
        <x:v>Mạng &amp; bảo mật</x:v>
      </x:c>
      <x:c r="C10" s="31" t="str">
        <x:v>Băng thông, VPN, tài khoản, phân quyền, lưu log</x:v>
      </x:c>
      <x:c r="D10" s="31"/>
      <x:c r="E10" s="31"/>
      <x:c r="F10" s="31" t="str">
        <x:v>Thiết kế kết nối và vận hành an toàn</x:v>
      </x:c>
      <x:c r="G10" s="31"/>
      <x:c r="H10" s="31"/>
      <x:c r="I10" s="31" t="str">
        <x:v>IT/Security</x:v>
      </x:c>
      <x:c r="J10" s="99"/>
      <x:c r="K10" s="99"/>
      <x:c r="L10" s="99"/>
      <x:c r="M10" s="99"/>
      <x:c r="N10" s="99"/>
      <x:c r="O10" s="99"/>
      <x:c r="P10" s="99"/>
      <x:c r="Q10" s="99"/>
    </x:row>
    <x:row r="11" ht="24" hidden="0" customHeight="1">
      <x:c r="A11" s="31" t="n">
        <x:v>6</x:v>
      </x:c>
      <x:c r="B11" s="31" t="str">
        <x:v>Lưu trữ &amp; pháp lý</x:v>
      </x:c>
      <x:c r="C11" s="31" t="str">
        <x:v>Thời gian lưu, người được xem, thông báo camera, quy trình xóa</x:v>
      </x:c>
      <x:c r="D11" s="31"/>
      <x:c r="E11" s="31"/>
      <x:c r="F11" s="31" t="str">
        <x:v>Quản trị dữ liệu hình ảnh cá nhân</x:v>
      </x:c>
      <x:c r="G11" s="31"/>
      <x:c r="H11" s="31"/>
      <x:c r="I11" s="31" t="str">
        <x:v>Pháp chế/IT</x:v>
      </x:c>
      <x:c r="J11" s="99"/>
      <x:c r="K11" s="99"/>
      <x:c r="L11" s="99"/>
      <x:c r="M11" s="99"/>
      <x:c r="N11" s="99"/>
      <x:c r="O11" s="99"/>
      <x:c r="P11" s="99"/>
      <x:c r="Q11" s="99"/>
    </x:row>
    <x:row r="12" ht="15" hidden="0" customHeight="1">
      <x:c r="A12" s="99"/>
      <x:c r="B12" s="99"/>
      <x:c r="C12" s="99"/>
      <x:c r="D12" s="99"/>
      <x:c r="E12" s="99"/>
      <x:c r="F12" s="99"/>
      <x:c r="G12" s="99"/>
      <x:c r="H12" s="99"/>
      <x:c r="I12" s="99"/>
      <x:c r="J12" s="99"/>
      <x:c r="K12" s="99"/>
      <x:c r="L12" s="99"/>
      <x:c r="M12" s="99"/>
      <x:c r="N12" s="99"/>
      <x:c r="O12" s="99"/>
      <x:c r="P12" s="99"/>
      <x:c r="Q12" s="99"/>
    </x:row>
    <x:row r="13" ht="15" hidden="0" customHeight="1">
      <x:c r="A13" s="25" t="str">
        <x:v>2. Các công việc nên thực hiện</x:v>
      </x:c>
      <x:c r="B13" s="25"/>
      <x:c r="C13" s="25"/>
      <x:c r="D13" s="25"/>
      <x:c r="E13" s="25"/>
      <x:c r="F13" s="25"/>
      <x:c r="G13" s="25"/>
      <x:c r="H13" s="25"/>
      <x:c r="I13" s="25"/>
      <x:c r="J13" s="99"/>
      <x:c r="K13" s="99"/>
      <x:c r="L13" s="99"/>
      <x:c r="M13" s="99"/>
      <x:c r="N13" s="99"/>
      <x:c r="O13" s="99"/>
      <x:c r="P13" s="99"/>
      <x:c r="Q13" s="99"/>
    </x:row>
    <x:row r="14" ht="15" hidden="0" customHeight="1">
      <x:c r="A14" s="29" t="str">
        <x:v>#</x:v>
      </x:c>
      <x:c r="B14" s="29" t="str">
        <x:v>Công việc</x:v>
      </x:c>
      <x:c r="C14" s="29"/>
      <x:c r="D14" s="29"/>
      <x:c r="E14" s="29" t="str">
        <x:v>Nội dung dễ hiểu</x:v>
      </x:c>
      <x:c r="F14" s="29"/>
      <x:c r="G14" s="29"/>
      <x:c r="H14" s="29" t="str">
        <x:v>Đầu ra</x:v>
      </x:c>
      <x:c r="I14" s="29"/>
      <x:c r="J14" s="99"/>
      <x:c r="K14" s="99"/>
      <x:c r="L14" s="99"/>
      <x:c r="M14" s="99"/>
      <x:c r="N14" s="99"/>
      <x:c r="O14" s="99"/>
      <x:c r="P14" s="99"/>
      <x:c r="Q14" s="99"/>
    </x:row>
    <x:row r="15" ht="24" hidden="0" customHeight="1">
      <x:c r="A15" s="31" t="n">
        <x:v>1</x:v>
      </x:c>
      <x:c r="B15" s="31" t="str">
        <x:v>Chốt bài toán và cách đo</x:v>
      </x:c>
      <x:c r="C15" s="31"/>
      <x:c r="D15" s="31"/>
      <x:c r="E15" s="31" t="str">
        <x:v>Chọn tình huống ưu tiên, khu vực, người xử lý và KPI</x:v>
      </x:c>
      <x:c r="F15" s="31"/>
      <x:c r="G15" s="31"/>
      <x:c r="H15" s="31" t="str">
        <x:v>Phạm vi POC + tiêu chí nghiệm thu</x:v>
      </x:c>
      <x:c r="I15" s="31"/>
      <x:c r="J15" s="99"/>
      <x:c r="K15" s="99"/>
      <x:c r="L15" s="99"/>
      <x:c r="M15" s="99"/>
      <x:c r="N15" s="99"/>
      <x:c r="O15" s="99"/>
      <x:c r="P15" s="99"/>
      <x:c r="Q15" s="99"/>
    </x:row>
    <x:row r="16" ht="36" hidden="0" customHeight="1">
      <x:c r="A16" s="31" t="n">
        <x:v>2</x:v>
      </x:c>
      <x:c r="B16" s="31" t="str">
        <x:v>Khảo sát camera và mạng</x:v>
      </x:c>
      <x:c r="C16" s="31"/>
      <x:c r="D16" s="31"/>
      <x:c r="E16" s="31" t="str">
        <x:v>Kiểm tra góc nhìn, ánh sáng, FPS, RTSP/VMS và băng thông</x:v>
      </x:c>
      <x:c r="F16" s="31"/>
      <x:c r="G16" s="31"/>
      <x:c r="H16" s="31" t="str">
        <x:v>Danh sách camera phù hợp + sơ đồ kết nối</x:v>
      </x:c>
      <x:c r="I16" s="31"/>
      <x:c r="J16" s="99"/>
      <x:c r="K16" s="99"/>
      <x:c r="L16" s="99"/>
      <x:c r="M16" s="99"/>
      <x:c r="N16" s="99"/>
      <x:c r="O16" s="99"/>
      <x:c r="P16" s="99"/>
      <x:c r="Q16" s="99"/>
    </x:row>
    <x:row r="17" ht="36" hidden="0" customHeight="1">
      <x:c r="A17" s="31" t="n">
        <x:v>3</x:v>
      </x:c>
      <x:c r="B17" s="31" t="str">
        <x:v>Thu thập và gắn nhãn dữ liệu</x:v>
      </x:c>
      <x:c r="C17" s="31"/>
      <x:c r="D17" s="31"/>
      <x:c r="E17" s="31" t="str">
        <x:v>Lấy video đại diện, đánh dấu đúng–sai theo nghiệp vụ</x:v>
      </x:c>
      <x:c r="F17" s="31"/>
      <x:c r="G17" s="31"/>
      <x:c r="H17" s="31" t="str">
        <x:v>Bộ dữ liệu kiểm thử/huấn luyện có kiểm soát</x:v>
      </x:c>
      <x:c r="I17" s="31"/>
      <x:c r="J17" s="99"/>
      <x:c r="K17" s="99"/>
      <x:c r="L17" s="99"/>
      <x:c r="M17" s="99"/>
      <x:c r="N17" s="99"/>
      <x:c r="O17" s="99"/>
      <x:c r="P17" s="99"/>
      <x:c r="Q17" s="99"/>
    </x:row>
    <x:row r="18" ht="24" hidden="0" customHeight="1">
      <x:c r="A18" s="31" t="n">
        <x:v>4</x:v>
      </x:c>
      <x:c r="B18" s="31" t="str">
        <x:v>Thay mock data bằng tích hợp thật</x:v>
      </x:c>
      <x:c r="C18" s="31"/>
      <x:c r="D18" s="31"/>
      <x:c r="E18" s="31" t="str">
        <x:v>Kết nối camera, người dùng, cảnh báo, lưu bằng chứng và log</x:v>
      </x:c>
      <x:c r="F18" s="31"/>
      <x:c r="G18" s="31"/>
      <x:c r="H18" s="31" t="str">
        <x:v>Ứng dụng chạy với dữ liệu thật</x:v>
      </x:c>
      <x:c r="I18" s="31"/>
      <x:c r="J18" s="99"/>
      <x:c r="K18" s="99"/>
      <x:c r="L18" s="99"/>
      <x:c r="M18" s="99"/>
      <x:c r="N18" s="99"/>
      <x:c r="O18" s="99"/>
      <x:c r="P18" s="99"/>
      <x:c r="Q18" s="99"/>
    </x:row>
    <x:row r="19" ht="24" hidden="0" customHeight="1">
      <x:c r="A19" s="31" t="n">
        <x:v>5</x:v>
      </x:c>
      <x:c r="B19" s="31" t="str">
        <x:v>Tinh chỉnh AI</x:v>
      </x:c>
      <x:c r="C19" s="31"/>
      <x:c r="D19" s="31"/>
      <x:c r="E19" s="31" t="str">
        <x:v>Chỉnh mô hình và ngưỡng cho môi trường xưởng</x:v>
      </x:c>
      <x:c r="F19" s="31"/>
      <x:c r="G19" s="31"/>
      <x:c r="H19" s="31" t="str">
        <x:v>Bản benchmark độ chính xác, độ trễ, tải</x:v>
      </x:c>
      <x:c r="I19" s="31"/>
      <x:c r="J19" s="99"/>
      <x:c r="K19" s="99"/>
      <x:c r="L19" s="99"/>
      <x:c r="M19" s="99"/>
      <x:c r="N19" s="99"/>
      <x:c r="O19" s="99"/>
      <x:c r="P19" s="99"/>
      <x:c r="Q19" s="99"/>
    </x:row>
    <x:row r="20" ht="36" hidden="0" customHeight="1">
      <x:c r="A20" s="31" t="n">
        <x:v>6</x:v>
      </x:c>
      <x:c r="B20" s="31" t="str">
        <x:v>Chạy thử song song</x:v>
      </x:c>
      <x:c r="C20" s="31"/>
      <x:c r="D20" s="31"/>
      <x:c r="E20" s="31" t="str">
        <x:v>AI cảnh báo nhưng con người vẫn xác nhận, chưa tự động xử phạt</x:v>
      </x:c>
      <x:c r="F20" s="31"/>
      <x:c r="G20" s="31"/>
      <x:c r="H20" s="31" t="str">
        <x:v>Danh sách lỗi/cảnh báo sai và bản hiệu chỉnh</x:v>
      </x:c>
      <x:c r="I20" s="31"/>
      <x:c r="J20" s="99"/>
      <x:c r="K20" s="99"/>
      <x:c r="L20" s="99"/>
      <x:c r="M20" s="99"/>
      <x:c r="N20" s="99"/>
      <x:c r="O20" s="99"/>
      <x:c r="P20" s="99"/>
      <x:c r="Q20" s="99"/>
    </x:row>
    <x:row r="21" ht="36" hidden="0" customHeight="1">
      <x:c r="A21" s="31" t="n">
        <x:v>7</x:v>
      </x:c>
      <x:c r="B21" s="31" t="str">
        <x:v>Nghiệm thu và quyết định mở rộng</x:v>
      </x:c>
      <x:c r="C21" s="31"/>
      <x:c r="D21" s="31"/>
      <x:c r="E21" s="31" t="str">
        <x:v>Đối chiếu KPI, chi phí, bảo mật và khả năng vận hành</x:v>
      </x:c>
      <x:c r="F21" s="31"/>
      <x:c r="G21" s="31"/>
      <x:c r="H21" s="31" t="str">
        <x:v>Go / điều chỉnh / dừng + kế hoạch mở rộng</x:v>
      </x:c>
      <x:c r="I21" s="31"/>
      <x:c r="J21" s="99"/>
      <x:c r="K21" s="99"/>
      <x:c r="L21" s="99"/>
      <x:c r="M21" s="99"/>
      <x:c r="N21" s="99"/>
      <x:c r="O21" s="99"/>
      <x:c r="P21" s="99"/>
      <x:c r="Q21" s="99"/>
    </x:row>
    <x:row r="22" ht="15" hidden="0" customHeight="1">
      <x:c r="A22" s="99"/>
      <x:c r="B22" s="99"/>
      <x:c r="C22" s="99"/>
      <x:c r="D22" s="99"/>
      <x:c r="E22" s="99"/>
      <x:c r="F22" s="99"/>
      <x:c r="G22" s="99"/>
      <x:c r="H22" s="99"/>
      <x:c r="I22" s="99"/>
      <x:c r="J22" s="99"/>
      <x:c r="K22" s="99"/>
      <x:c r="L22" s="99"/>
      <x:c r="M22" s="99"/>
      <x:c r="N22" s="99"/>
      <x:c r="O22" s="99"/>
      <x:c r="P22" s="99"/>
      <x:c r="Q22" s="99"/>
    </x:row>
    <x:row r="23" ht="15" hidden="0" customHeight="1">
      <x:c r="A23" s="25" t="str">
        <x:v>3. KPI nghiệm thu nên theo dõi</x:v>
      </x:c>
      <x:c r="B23" s="25"/>
      <x:c r="C23" s="25"/>
      <x:c r="D23" s="25"/>
      <x:c r="E23" s="25"/>
      <x:c r="F23" s="25"/>
      <x:c r="G23" s="25"/>
      <x:c r="H23" s="25"/>
      <x:c r="I23" s="25"/>
      <x:c r="J23" s="99"/>
      <x:c r="K23" s="99"/>
      <x:c r="L23" s="99"/>
      <x:c r="M23" s="99"/>
      <x:c r="N23" s="99"/>
      <x:c r="O23" s="99"/>
      <x:c r="P23" s="99"/>
      <x:c r="Q23" s="99"/>
    </x:row>
    <x:row r="24" ht="15" hidden="0" customHeight="1">
      <x:c r="A24" s="29" t="str">
        <x:v>KPI</x:v>
      </x:c>
      <x:c r="B24" s="29" t="str">
        <x:v>Câu hỏi cần trả lời</x:v>
      </x:c>
      <x:c r="C24" s="29"/>
      <x:c r="D24" s="29"/>
      <x:c r="E24" s="29"/>
      <x:c r="F24" s="29" t="str">
        <x:v>Ghi chú</x:v>
      </x:c>
      <x:c r="G24" s="29"/>
      <x:c r="H24" s="29"/>
      <x:c r="I24" s="29"/>
      <x:c r="J24" s="99"/>
      <x:c r="K24" s="99"/>
      <x:c r="L24" s="99"/>
      <x:c r="M24" s="99"/>
      <x:c r="N24" s="99"/>
      <x:c r="O24" s="99"/>
      <x:c r="P24" s="99"/>
      <x:c r="Q24" s="99"/>
    </x:row>
    <x:row r="25" ht="24" hidden="0" customHeight="1">
      <x:c r="A25" s="31" t="str">
        <x:v>Độ phát hiện</x:v>
      </x:c>
      <x:c r="B25" s="31" t="str">
        <x:v>Trong các sự kiện cần phát hiện, AI bắt được bao nhiêu?</x:v>
      </x:c>
      <x:c r="C25" s="31"/>
      <x:c r="D25" s="31"/>
      <x:c r="E25" s="31"/>
      <x:c r="F25" s="31" t="str">
        <x:v>Đo riêng theo từng tình huống</x:v>
      </x:c>
      <x:c r="G25" s="31"/>
      <x:c r="H25" s="31"/>
      <x:c r="I25" s="31"/>
      <x:c r="J25" s="99"/>
      <x:c r="K25" s="99"/>
      <x:c r="L25" s="99"/>
      <x:c r="M25" s="99"/>
      <x:c r="N25" s="99"/>
      <x:c r="O25" s="99"/>
      <x:c r="P25" s="99"/>
      <x:c r="Q25" s="99"/>
    </x:row>
    <x:row r="26" ht="24" hidden="0" customHeight="1">
      <x:c r="A26" s="31" t="str">
        <x:v>Cảnh báo sai</x:v>
      </x:c>
      <x:c r="B26" s="31" t="str">
        <x:v>Một camera/ca tạo bao nhiêu cảnh báo không đúng?</x:v>
      </x:c>
      <x:c r="C26" s="31"/>
      <x:c r="D26" s="31"/>
      <x:c r="E26" s="31"/>
      <x:c r="F26" s="31" t="str">
        <x:v>Tác động trực tiếp đến người vận hành</x:v>
      </x:c>
      <x:c r="G26" s="31"/>
      <x:c r="H26" s="31"/>
      <x:c r="I26" s="31"/>
      <x:c r="J26" s="99"/>
      <x:c r="K26" s="99"/>
      <x:c r="L26" s="99"/>
      <x:c r="M26" s="99"/>
      <x:c r="N26" s="99"/>
      <x:c r="O26" s="99"/>
      <x:c r="P26" s="99"/>
      <x:c r="Q26" s="99"/>
    </x:row>
    <x:row r="27" ht="24" hidden="0" customHeight="1">
      <x:c r="A27" s="31" t="str">
        <x:v>Độ trễ</x:v>
      </x:c>
      <x:c r="B27" s="31" t="str">
        <x:v>Từ hình ảnh đến khi người phụ trách nhận cảnh báo mất bao lâu?</x:v>
      </x:c>
      <x:c r="C27" s="31"/>
      <x:c r="D27" s="31"/>
      <x:c r="E27" s="31"/>
      <x:c r="F27" s="31" t="str">
        <x:v>Đo theo mạng thực tế</x:v>
      </x:c>
      <x:c r="G27" s="31"/>
      <x:c r="H27" s="31"/>
      <x:c r="I27" s="31"/>
      <x:c r="J27" s="99"/>
      <x:c r="K27" s="99"/>
      <x:c r="L27" s="99"/>
      <x:c r="M27" s="99"/>
      <x:c r="N27" s="99"/>
      <x:c r="O27" s="99"/>
      <x:c r="P27" s="99"/>
      <x:c r="Q27" s="99"/>
    </x:row>
    <x:row r="28" ht="24" hidden="0" customHeight="1">
      <x:c r="A28" s="31" t="str">
        <x:v>Ổn định &amp; quy trình</x:v>
      </x:c>
      <x:c r="B28" s="31" t="str">
        <x:v>Hệ thống có chạy liên tục và cảnh báo có được xử lý/ghi nhận?</x:v>
      </x:c>
      <x:c r="C28" s="31"/>
      <x:c r="D28" s="31"/>
      <x:c r="E28" s="31"/>
      <x:c r="F28" s="31" t="str">
        <x:v>Không chỉ đo AI, còn đo toàn bộ quy trình</x:v>
      </x:c>
      <x:c r="G28" s="31"/>
      <x:c r="H28" s="31"/>
      <x:c r="I28" s="31"/>
      <x:c r="J28" s="99"/>
      <x:c r="K28" s="99"/>
      <x:c r="L28" s="99"/>
      <x:c r="M28" s="99"/>
      <x:c r="N28" s="99"/>
      <x:c r="O28" s="99"/>
      <x:c r="P28" s="99"/>
      <x:c r="Q28" s="99"/>
    </x:row>
    <x:row r="29">
      <x:c r="A29" s="99"/>
      <x:c r="B29" s="99"/>
      <x:c r="C29" s="99"/>
      <x:c r="D29" s="99"/>
      <x:c r="E29" s="99"/>
      <x:c r="F29" s="99"/>
      <x:c r="G29" s="99"/>
      <x:c r="H29" s="99"/>
      <x:c r="I29" s="99"/>
      <x:c r="J29" s="99"/>
      <x:c r="K29" s="99"/>
      <x:c r="L29" s="99"/>
      <x:c r="M29" s="99"/>
      <x:c r="N29" s="99"/>
      <x:c r="O29" s="99"/>
      <x:c r="P29" s="99"/>
      <x:c r="Q29" s="99"/>
    </x:row>
    <x:row r="30">
      <x:c r="A30" s="99"/>
      <x:c r="B30" s="99"/>
      <x:c r="C30" s="99"/>
      <x:c r="D30" s="99"/>
      <x:c r="E30" s="99"/>
      <x:c r="F30" s="99"/>
      <x:c r="G30" s="99"/>
      <x:c r="H30" s="99"/>
      <x:c r="I30" s="99"/>
      <x:c r="J30" s="99"/>
      <x:c r="K30" s="99"/>
      <x:c r="L30" s="99"/>
      <x:c r="M30" s="99"/>
      <x:c r="N30" s="99"/>
      <x:c r="O30" s="99"/>
      <x:c r="P30" s="99"/>
      <x:c r="Q30" s="99"/>
    </x:row>
    <x:row r="31">
      <x:c r="A31" s="99"/>
      <x:c r="B31" s="99"/>
      <x:c r="C31" s="99"/>
      <x:c r="D31" s="99"/>
      <x:c r="E31" s="99"/>
      <x:c r="F31" s="99"/>
      <x:c r="G31" s="99"/>
      <x:c r="H31" s="99"/>
      <x:c r="I31" s="99"/>
      <x:c r="J31" s="99"/>
      <x:c r="K31" s="99"/>
      <x:c r="L31" s="99"/>
      <x:c r="M31" s="99"/>
      <x:c r="N31" s="99"/>
      <x:c r="O31" s="99"/>
      <x:c r="P31" s="99"/>
      <x:c r="Q31" s="99"/>
    </x:row>
    <x:row r="32">
      <x:c r="A32" s="99"/>
      <x:c r="B32" s="99"/>
      <x:c r="C32" s="99"/>
      <x:c r="D32" s="99"/>
      <x:c r="E32" s="99"/>
      <x:c r="F32" s="99"/>
      <x:c r="G32" s="99"/>
      <x:c r="H32" s="99"/>
      <x:c r="I32" s="99"/>
      <x:c r="J32" s="99"/>
      <x:c r="K32" s="99"/>
      <x:c r="L32" s="99"/>
      <x:c r="M32" s="99"/>
      <x:c r="N32" s="99"/>
      <x:c r="O32" s="99"/>
      <x:c r="P32" s="99"/>
      <x:c r="Q32" s="99"/>
    </x:row>
    <x:row r="33">
      <x:c r="A33" s="99"/>
      <x:c r="B33" s="99"/>
      <x:c r="C33" s="99"/>
      <x:c r="D33" s="99"/>
      <x:c r="E33" s="99"/>
      <x:c r="F33" s="99"/>
      <x:c r="G33" s="99"/>
      <x:c r="H33" s="99"/>
      <x:c r="I33" s="99"/>
      <x:c r="J33" s="99"/>
      <x:c r="K33" s="99"/>
      <x:c r="L33" s="99"/>
      <x:c r="M33" s="99"/>
      <x:c r="N33" s="99"/>
      <x:c r="O33" s="99"/>
      <x:c r="P33" s="99"/>
      <x:c r="Q33" s="99"/>
    </x:row>
    <x:row r="34">
      <x:c r="A34" s="99"/>
      <x:c r="B34" s="99"/>
      <x:c r="C34" s="99"/>
      <x:c r="D34" s="99"/>
      <x:c r="E34" s="99"/>
      <x:c r="F34" s="99"/>
      <x:c r="G34" s="99"/>
      <x:c r="H34" s="99"/>
      <x:c r="I34" s="99"/>
      <x:c r="J34" s="99"/>
      <x:c r="K34" s="99"/>
      <x:c r="L34" s="99"/>
      <x:c r="M34" s="99"/>
      <x:c r="N34" s="99"/>
      <x:c r="O34" s="99"/>
      <x:c r="P34" s="99"/>
      <x:c r="Q34" s="99"/>
    </x:row>
    <x:row r="35">
      <x:c r="A35" s="99"/>
      <x:c r="B35" s="99"/>
      <x:c r="C35" s="99"/>
      <x:c r="D35" s="99"/>
      <x:c r="E35" s="99"/>
      <x:c r="F35" s="99"/>
      <x:c r="G35" s="99"/>
      <x:c r="H35" s="99"/>
      <x:c r="I35" s="99"/>
      <x:c r="J35" s="99"/>
      <x:c r="K35" s="99"/>
      <x:c r="L35" s="99"/>
      <x:c r="M35" s="99"/>
      <x:c r="N35" s="99"/>
      <x:c r="O35" s="99"/>
      <x:c r="P35" s="99"/>
      <x:c r="Q35" s="99"/>
    </x:row>
    <x:row r="36">
      <x:c r="A36" s="99"/>
      <x:c r="B36" s="99"/>
      <x:c r="C36" s="99"/>
      <x:c r="D36" s="99"/>
      <x:c r="E36" s="99"/>
      <x:c r="F36" s="99"/>
      <x:c r="G36" s="99"/>
      <x:c r="H36" s="99"/>
      <x:c r="I36" s="99"/>
      <x:c r="J36" s="99"/>
      <x:c r="K36" s="99"/>
      <x:c r="L36" s="99"/>
      <x:c r="M36" s="99"/>
      <x:c r="N36" s="99"/>
      <x:c r="O36" s="99"/>
      <x:c r="P36" s="99"/>
      <x:c r="Q36" s="99"/>
    </x:row>
    <x:row r="37">
      <x:c r="A37" s="99"/>
      <x:c r="B37" s="99"/>
      <x:c r="C37" s="99"/>
      <x:c r="D37" s="99"/>
      <x:c r="E37" s="99"/>
      <x:c r="F37" s="99"/>
      <x:c r="G37" s="99"/>
      <x:c r="H37" s="99"/>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row r="61">
      <x:c r="A61" s="99"/>
      <x:c r="B61" s="99"/>
      <x:c r="C61" s="99"/>
      <x:c r="D61" s="99"/>
      <x:c r="E61" s="99"/>
      <x:c r="F61" s="99"/>
      <x:c r="G61" s="99"/>
      <x:c r="H61" s="99"/>
      <x:c r="I61" s="99"/>
      <x:c r="J61" s="99"/>
      <x:c r="K61" s="99"/>
      <x:c r="L61" s="99"/>
      <x:c r="M61" s="99"/>
      <x:c r="N61" s="99"/>
      <x:c r="O61" s="99"/>
      <x:c r="P61" s="99"/>
      <x:c r="Q61" s="99"/>
    </x:row>
    <x:row r="62">
      <x:c r="A62" s="99"/>
      <x:c r="B62" s="99"/>
      <x:c r="C62" s="99"/>
      <x:c r="D62" s="99"/>
      <x:c r="E62" s="99"/>
      <x:c r="F62" s="99"/>
      <x:c r="G62" s="99"/>
      <x:c r="H62" s="99"/>
      <x:c r="I62" s="99"/>
      <x:c r="J62" s="99"/>
      <x:c r="K62" s="99"/>
      <x:c r="L62" s="99"/>
      <x:c r="M62" s="99"/>
      <x:c r="N62" s="99"/>
      <x:c r="O62" s="99"/>
      <x:c r="P62" s="99"/>
      <x:c r="Q62" s="99"/>
    </x:row>
    <x:row r="63">
      <x:c r="A63" s="99"/>
      <x:c r="B63" s="99"/>
      <x:c r="C63" s="99"/>
      <x:c r="D63" s="99"/>
      <x:c r="E63" s="99"/>
      <x:c r="F63" s="99"/>
      <x:c r="G63" s="99"/>
      <x:c r="H63" s="99"/>
      <x:c r="I63" s="99"/>
      <x:c r="J63" s="99"/>
      <x:c r="K63" s="99"/>
      <x:c r="L63" s="99"/>
      <x:c r="M63" s="99"/>
      <x:c r="N63" s="99"/>
      <x:c r="O63" s="99"/>
      <x:c r="P63" s="99"/>
      <x:c r="Q63" s="99"/>
    </x:row>
    <x:row r="64">
      <x:c r="A64" s="99"/>
      <x:c r="B64" s="99"/>
      <x:c r="C64" s="99"/>
      <x:c r="D64" s="99"/>
      <x:c r="E64" s="99"/>
      <x:c r="F64" s="99"/>
      <x:c r="G64" s="99"/>
      <x:c r="H64" s="99"/>
      <x:c r="I64" s="99"/>
      <x:c r="J64" s="99"/>
      <x:c r="K64" s="99"/>
      <x:c r="L64" s="99"/>
      <x:c r="M64" s="99"/>
      <x:c r="N64" s="99"/>
      <x:c r="O64" s="99"/>
      <x:c r="P64" s="99"/>
      <x:c r="Q64" s="99"/>
    </x:row>
    <x:row r="65">
      <x:c r="A65" s="99"/>
      <x:c r="B65" s="99"/>
      <x:c r="C65" s="99"/>
      <x:c r="D65" s="99"/>
      <x:c r="E65" s="99"/>
      <x:c r="F65" s="99"/>
      <x:c r="G65" s="99"/>
      <x:c r="H65" s="99"/>
      <x:c r="I65" s="99"/>
      <x:c r="J65" s="99"/>
      <x:c r="K65" s="99"/>
      <x:c r="L65" s="99"/>
      <x:c r="M65" s="99"/>
      <x:c r="N65" s="99"/>
      <x:c r="O65" s="99"/>
      <x:c r="P65" s="99"/>
      <x:c r="Q65" s="99"/>
    </x:row>
    <x:row r="66">
      <x:c r="A66" s="99"/>
      <x:c r="B66" s="99"/>
      <x:c r="C66" s="99"/>
      <x:c r="D66" s="99"/>
      <x:c r="E66" s="99"/>
      <x:c r="F66" s="99"/>
      <x:c r="G66" s="99"/>
      <x:c r="H66" s="99"/>
      <x:c r="I66" s="99"/>
      <x:c r="J66" s="99"/>
      <x:c r="K66" s="99"/>
      <x:c r="L66" s="99"/>
      <x:c r="M66" s="99"/>
      <x:c r="N66" s="99"/>
      <x:c r="O66" s="99"/>
      <x:c r="P66" s="99"/>
      <x:c r="Q66" s="99"/>
    </x:row>
    <x:row r="67">
      <x:c r="A67" s="99"/>
      <x:c r="B67" s="99"/>
      <x:c r="C67" s="99"/>
      <x:c r="D67" s="99"/>
      <x:c r="E67" s="99"/>
      <x:c r="F67" s="99"/>
      <x:c r="G67" s="99"/>
      <x:c r="H67" s="99"/>
      <x:c r="I67" s="99"/>
      <x:c r="J67" s="99"/>
      <x:c r="K67" s="99"/>
      <x:c r="L67" s="99"/>
      <x:c r="M67" s="99"/>
      <x:c r="N67" s="99"/>
      <x:c r="O67" s="99"/>
      <x:c r="P67" s="99"/>
      <x:c r="Q67" s="99"/>
    </x:row>
    <x:row r="68">
      <x:c r="A68" s="99"/>
      <x:c r="B68" s="99"/>
      <x:c r="C68" s="99"/>
      <x:c r="D68" s="99"/>
      <x:c r="E68" s="99"/>
      <x:c r="F68" s="99"/>
      <x:c r="G68" s="99"/>
      <x:c r="H68" s="99"/>
      <x:c r="I68" s="99"/>
      <x:c r="J68" s="99"/>
      <x:c r="K68" s="99"/>
      <x:c r="L68" s="99"/>
      <x:c r="M68" s="99"/>
      <x:c r="N68" s="99"/>
      <x:c r="O68" s="99"/>
      <x:c r="P68" s="99"/>
      <x:c r="Q68" s="99"/>
    </x:row>
    <x:row r="69">
      <x:c r="A69" s="99"/>
      <x:c r="B69" s="99"/>
      <x:c r="C69" s="99"/>
      <x:c r="D69" s="99"/>
      <x:c r="E69" s="99"/>
      <x:c r="F69" s="99"/>
      <x:c r="G69" s="99"/>
      <x:c r="H69" s="99"/>
      <x:c r="I69" s="99"/>
      <x:c r="J69" s="99"/>
      <x:c r="K69" s="99"/>
      <x:c r="L69" s="99"/>
      <x:c r="M69" s="99"/>
      <x:c r="N69" s="99"/>
      <x:c r="O69" s="99"/>
      <x:c r="P69" s="99"/>
      <x:c r="Q69" s="99"/>
    </x:row>
    <x:row r="70">
      <x:c r="A70" s="99"/>
      <x:c r="B70" s="99"/>
      <x:c r="C70" s="99"/>
      <x:c r="D70" s="99"/>
      <x:c r="E70" s="99"/>
      <x:c r="F70" s="99"/>
      <x:c r="G70" s="99"/>
      <x:c r="H70" s="99"/>
      <x:c r="I70" s="99"/>
      <x:c r="J70" s="99"/>
      <x:c r="K70" s="99"/>
      <x:c r="L70" s="99"/>
      <x:c r="M70" s="99"/>
      <x:c r="N70" s="99"/>
      <x:c r="O70" s="99"/>
      <x:c r="P70" s="99"/>
      <x:c r="Q70" s="99"/>
    </x:row>
    <x:row r="71">
      <x:c r="A71" s="99"/>
      <x:c r="B71" s="99"/>
      <x:c r="C71" s="99"/>
      <x:c r="D71" s="99"/>
      <x:c r="E71" s="99"/>
      <x:c r="F71" s="99"/>
      <x:c r="G71" s="99"/>
      <x:c r="H71" s="99"/>
      <x:c r="I71" s="99"/>
      <x:c r="J71" s="99"/>
      <x:c r="K71" s="99"/>
      <x:c r="L71" s="99"/>
      <x:c r="M71" s="99"/>
      <x:c r="N71" s="99"/>
      <x:c r="O71" s="99"/>
      <x:c r="P71" s="99"/>
      <x:c r="Q71" s="99"/>
    </x:row>
    <x:row r="72">
      <x:c r="A72" s="99"/>
      <x:c r="B72" s="99"/>
      <x:c r="C72" s="99"/>
      <x:c r="D72" s="99"/>
      <x:c r="E72" s="99"/>
      <x:c r="F72" s="99"/>
      <x:c r="G72" s="99"/>
      <x:c r="H72" s="99"/>
      <x:c r="I72" s="99"/>
      <x:c r="J72" s="99"/>
      <x:c r="K72" s="99"/>
      <x:c r="L72" s="99"/>
      <x:c r="M72" s="99"/>
      <x:c r="N72" s="99"/>
      <x:c r="O72" s="99"/>
      <x:c r="P72" s="99"/>
      <x:c r="Q72" s="99"/>
    </x:row>
    <x:row r="73">
      <x:c r="A73" s="99"/>
      <x:c r="B73" s="99"/>
      <x:c r="C73" s="99"/>
      <x:c r="D73" s="99"/>
      <x:c r="E73" s="99"/>
      <x:c r="F73" s="99"/>
      <x:c r="G73" s="99"/>
      <x:c r="H73" s="99"/>
      <x:c r="I73" s="99"/>
      <x:c r="J73" s="99"/>
      <x:c r="K73" s="99"/>
      <x:c r="L73" s="99"/>
      <x:c r="M73" s="99"/>
      <x:c r="N73" s="99"/>
      <x:c r="O73" s="99"/>
      <x:c r="P73" s="99"/>
      <x:c r="Q73" s="99"/>
    </x:row>
    <x:row r="74">
      <x:c r="A74" s="99"/>
      <x:c r="B74" s="99"/>
      <x:c r="C74" s="99"/>
      <x:c r="D74" s="99"/>
      <x:c r="E74" s="99"/>
      <x:c r="F74" s="99"/>
      <x:c r="G74" s="99"/>
      <x:c r="H74" s="99"/>
      <x:c r="I74" s="99"/>
      <x:c r="J74" s="99"/>
      <x:c r="K74" s="99"/>
      <x:c r="L74" s="99"/>
      <x:c r="M74" s="99"/>
      <x:c r="N74" s="99"/>
      <x:c r="O74" s="99"/>
      <x:c r="P74" s="99"/>
      <x:c r="Q74" s="99"/>
    </x:row>
    <x:row r="75">
      <x:c r="A75" s="99"/>
      <x:c r="B75" s="99"/>
      <x:c r="C75" s="99"/>
      <x:c r="D75" s="99"/>
      <x:c r="E75" s="99"/>
      <x:c r="F75" s="99"/>
      <x:c r="G75" s="99"/>
      <x:c r="H75" s="99"/>
      <x:c r="I75" s="99"/>
      <x:c r="J75" s="99"/>
      <x:c r="K75" s="99"/>
      <x:c r="L75" s="99"/>
      <x:c r="M75" s="99"/>
      <x:c r="N75" s="99"/>
      <x:c r="O75" s="99"/>
      <x:c r="P75" s="99"/>
      <x:c r="Q75" s="99"/>
    </x:row>
    <x:row r="76">
      <x:c r="A76" s="99"/>
      <x:c r="B76" s="99"/>
      <x:c r="C76" s="99"/>
      <x:c r="D76" s="99"/>
      <x:c r="E76" s="99"/>
      <x:c r="F76" s="99"/>
      <x:c r="G76" s="99"/>
      <x:c r="H76" s="99"/>
      <x:c r="I76" s="99"/>
      <x:c r="J76" s="99"/>
      <x:c r="K76" s="99"/>
      <x:c r="L76" s="99"/>
      <x:c r="M76" s="99"/>
      <x:c r="N76" s="99"/>
      <x:c r="O76" s="99"/>
      <x:c r="P76" s="99"/>
      <x:c r="Q76" s="99"/>
    </x:row>
    <x:row r="77">
      <x:c r="A77" s="99"/>
      <x:c r="B77" s="99"/>
      <x:c r="C77" s="99"/>
      <x:c r="D77" s="99"/>
      <x:c r="E77" s="99"/>
      <x:c r="F77" s="99"/>
      <x:c r="G77" s="99"/>
      <x:c r="H77" s="99"/>
      <x:c r="I77" s="99"/>
      <x:c r="J77" s="99"/>
      <x:c r="K77" s="99"/>
      <x:c r="L77" s="99"/>
      <x:c r="M77" s="99"/>
      <x:c r="N77" s="99"/>
      <x:c r="O77" s="99"/>
      <x:c r="P77" s="99"/>
      <x:c r="Q77" s="99"/>
    </x:row>
    <x:row r="78">
      <x:c r="A78" s="99"/>
      <x:c r="B78" s="99"/>
      <x:c r="C78" s="99"/>
      <x:c r="D78" s="99"/>
      <x:c r="E78" s="99"/>
      <x:c r="F78" s="99"/>
      <x:c r="G78" s="99"/>
      <x:c r="H78" s="99"/>
      <x:c r="I78" s="99"/>
      <x:c r="J78" s="99"/>
      <x:c r="K78" s="99"/>
      <x:c r="L78" s="99"/>
      <x:c r="M78" s="99"/>
      <x:c r="N78" s="99"/>
      <x:c r="O78" s="99"/>
      <x:c r="P78" s="99"/>
      <x:c r="Q78" s="99"/>
    </x:row>
    <x:row r="79">
      <x:c r="A79" s="99"/>
      <x:c r="B79" s="99"/>
      <x:c r="C79" s="99"/>
      <x:c r="D79" s="99"/>
      <x:c r="E79" s="99"/>
      <x:c r="F79" s="99"/>
      <x:c r="G79" s="99"/>
      <x:c r="H79" s="99"/>
      <x:c r="I79" s="99"/>
      <x:c r="J79" s="99"/>
      <x:c r="K79" s="99"/>
      <x:c r="L79" s="99"/>
      <x:c r="M79" s="99"/>
      <x:c r="N79" s="99"/>
      <x:c r="O79" s="99"/>
      <x:c r="P79" s="99"/>
      <x:c r="Q79" s="99"/>
    </x:row>
    <x:row r="80">
      <x:c r="A80" s="99"/>
      <x:c r="B80" s="99"/>
      <x:c r="C80" s="99"/>
      <x:c r="D80" s="99"/>
      <x:c r="E80" s="99"/>
      <x:c r="F80" s="99"/>
      <x:c r="G80" s="99"/>
      <x:c r="H80" s="99"/>
      <x:c r="I80" s="99"/>
      <x:c r="J80" s="99"/>
      <x:c r="K80" s="99"/>
      <x:c r="L80" s="99"/>
      <x:c r="M80" s="99"/>
      <x:c r="N80" s="99"/>
      <x:c r="O80" s="99"/>
      <x:c r="P80" s="99"/>
      <x:c r="Q80" s="99"/>
    </x:row>
  </x:sheetData>
  <x:mergeCells>
    <x:mergeCell ref="A1:I1"/>
    <x:mergeCell ref="A2:I2"/>
    <x:mergeCell ref="A4:I4"/>
    <x:mergeCell ref="C5:E5"/>
    <x:mergeCell ref="F5:H5"/>
    <x:mergeCell ref="C6:E6"/>
    <x:mergeCell ref="F6:H6"/>
    <x:mergeCell ref="C7:E7"/>
    <x:mergeCell ref="F7:H7"/>
    <x:mergeCell ref="C8:E8"/>
    <x:mergeCell ref="F8:H8"/>
    <x:mergeCell ref="C9:E9"/>
    <x:mergeCell ref="F9:H9"/>
    <x:mergeCell ref="C10:E10"/>
    <x:mergeCell ref="F10:H10"/>
    <x:mergeCell ref="C11:E11"/>
    <x:mergeCell ref="F11:H11"/>
    <x:mergeCell ref="A13:I13"/>
    <x:mergeCell ref="B14:D14"/>
    <x:mergeCell ref="E14:G14"/>
    <x:mergeCell ref="H14:I14"/>
    <x:mergeCell ref="B15:D15"/>
    <x:mergeCell ref="E15:G15"/>
    <x:mergeCell ref="H15:I15"/>
    <x:mergeCell ref="B16:D16"/>
    <x:mergeCell ref="E16:G16"/>
    <x:mergeCell ref="H16:I16"/>
    <x:mergeCell ref="B17:D17"/>
    <x:mergeCell ref="E17:G17"/>
    <x:mergeCell ref="H17:I17"/>
    <x:mergeCell ref="B18:D18"/>
    <x:mergeCell ref="E18:G18"/>
    <x:mergeCell ref="H18:I18"/>
    <x:mergeCell ref="B19:D19"/>
    <x:mergeCell ref="E19:G19"/>
    <x:mergeCell ref="H19:I19"/>
    <x:mergeCell ref="B20:D20"/>
    <x:mergeCell ref="E20:G20"/>
    <x:mergeCell ref="H20:I20"/>
    <x:mergeCell ref="B21:D21"/>
    <x:mergeCell ref="E21:G21"/>
    <x:mergeCell ref="H21:I21"/>
    <x:mergeCell ref="A23:I23"/>
    <x:mergeCell ref="B24:E24"/>
    <x:mergeCell ref="F24:I24"/>
    <x:mergeCell ref="B25:E25"/>
    <x:mergeCell ref="F25:I25"/>
    <x:mergeCell ref="B26:E26"/>
    <x:mergeCell ref="F26:I26"/>
    <x:mergeCell ref="B27:E27"/>
    <x:mergeCell ref="F27:I27"/>
    <x:mergeCell ref="B28:E28"/>
    <x:mergeCell ref="F28:I28"/>
  </x:mergeCells>
  <x:pageMargins left="0.7" right="0.7" top="0.75" bottom="0.75" header="0.3" footer="0.3"/>
</x:worksheet>
</file>

<file path=xl/worksheets/sheet3.xml><?xml version="1.0" encoding="utf-8"?>
<x:worksheet xmlns:x="http://schemas.openxmlformats.org/spreadsheetml/2006/main">
  <x:sheetPr>
    <x:tabColor rgb="FF1B7F4B"/>
  </x:sheetPr>
  <x:sheetViews>
    <x:sheetView showGridLines="0" workbookViewId="0">
      <x:pane ySplit="3" topLeftCell="A4" activePane="bottomLeft" state="frozen"/>
    </x:sheetView>
  </x:sheetViews>
  <x:sheetFormatPr defaultRowHeight="15"/>
  <x:cols>
    <x:col min="1" max="1" width="15"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0" hidden="0" customWidth="1"/>
    <x:col min="9" max="9" width="14" hidden="0" customWidth="1"/>
  </x:cols>
  <x:sheetData>
    <x:row r="1" ht="43.20000076293945" hidden="0" customHeight="1">
      <x:c r="A1" s="5" t="str">
        <x:v>SO SÁNH 3 LỰA CHỌN CLOUD CHO POC 4–8 CAMERA</x:v>
      </x:c>
      <x:c r="B1" s="5"/>
      <x:c r="C1" s="5"/>
      <x:c r="D1" s="5"/>
      <x:c r="E1" s="5"/>
      <x:c r="F1" s="5"/>
      <x:c r="G1" s="5"/>
      <x:c r="H1" s="5"/>
      <x:c r="I1" s="5"/>
      <x:c r="J1" s="99"/>
      <x:c r="K1" s="99"/>
      <x:c r="L1" s="99"/>
      <x:c r="M1" s="99"/>
      <x:c r="N1" s="99"/>
      <x:c r="O1" s="99"/>
      <x:c r="P1" s="99"/>
      <x:c r="Q1" s="99"/>
    </x:row>
    <x:row r="2" ht="24" hidden="0" customHeight="1">
      <x:c r="A2" s="8" t="str">
        <x:v>Kịch bản: 01 GPU node chạy 730 giờ/tháng, bitrate 2 Mbps, lưu 30 ngày; chưa gồm thuế/chiết khấu và chi phí nhân sự triển khai.</x:v>
      </x:c>
      <x:c r="B2" s="8"/>
      <x:c r="C2" s="8"/>
      <x:c r="D2" s="8"/>
      <x:c r="E2" s="8"/>
      <x:c r="F2" s="8"/>
      <x:c r="G2" s="8"/>
      <x:c r="H2" s="8"/>
      <x:c r="I2" s="8"/>
      <x:c r="J2" s="99"/>
      <x:c r="K2" s="99"/>
      <x:c r="L2" s="99"/>
      <x:c r="M2" s="99"/>
      <x:c r="N2" s="99"/>
      <x:c r="O2" s="99"/>
      <x:c r="P2" s="99"/>
      <x:c r="Q2" s="99"/>
    </x:row>
    <x:row r="3" ht="15" hidden="0" customHeight="1">
      <x:c r="A3" s="99"/>
      <x:c r="B3" s="99"/>
      <x:c r="C3" s="99"/>
      <x:c r="D3" s="99"/>
      <x:c r="E3" s="99"/>
      <x:c r="F3" s="99"/>
      <x:c r="G3" s="99"/>
      <x:c r="H3" s="99"/>
      <x:c r="I3" s="99"/>
      <x:c r="J3" s="99"/>
      <x:c r="K3" s="99"/>
      <x:c r="L3" s="99"/>
      <x:c r="M3" s="99"/>
      <x:c r="N3" s="99"/>
      <x:c r="O3" s="99"/>
      <x:c r="P3" s="99"/>
      <x:c r="Q3" s="99"/>
    </x:row>
    <x:row r="4" ht="15" hidden="0" customHeight="1">
      <x:c r="A4" s="29" t="str">
        <x:v>Giả định</x:v>
      </x:c>
      <x:c r="B4" s="29" t="str">
        <x:v>Giá trị</x:v>
      </x:c>
      <x:c r="C4" s="29" t="str">
        <x:v>Đơn vị</x:v>
      </x:c>
      <x:c r="D4" s="29" t="str">
        <x:v>Nguồn</x:v>
      </x:c>
      <x:c r="E4" s="99"/>
      <x:c r="F4" s="99"/>
      <x:c r="G4" s="99"/>
      <x:c r="H4" s="99"/>
      <x:c r="I4" s="99"/>
      <x:c r="J4" s="99"/>
      <x:c r="K4" s="99"/>
      <x:c r="L4" s="99"/>
      <x:c r="M4" s="99"/>
      <x:c r="N4" s="99"/>
      <x:c r="O4" s="99"/>
      <x:c r="P4" s="99"/>
      <x:c r="Q4" s="99"/>
    </x:row>
    <x:row r="5" ht="15" hidden="0" customHeight="1">
      <x:c r="A5" s="31" t="str">
        <x:v>Tỷ giá</x:v>
      </x:c>
      <x:c r="B5" s="100" t="n">
        <x:f>'04_Chi_phi_chi_tiet'!B6</x:f>
        <x:v>26500</x:v>
      </x:c>
      <x:c r="C5" s="31" t="str">
        <x:v>VND/USD</x:v>
      </x:c>
      <x:c r="D5" s="31" t="str">
        <x:v>Sheet 04</x:v>
      </x:c>
      <x:c r="E5" s="99"/>
      <x:c r="F5" s="99"/>
      <x:c r="G5" s="99"/>
      <x:c r="H5" s="99"/>
      <x:c r="I5" s="99"/>
      <x:c r="J5" s="99"/>
      <x:c r="K5" s="99"/>
      <x:c r="L5" s="99"/>
      <x:c r="M5" s="99"/>
      <x:c r="N5" s="99"/>
      <x:c r="O5" s="99"/>
      <x:c r="P5" s="99"/>
      <x:c r="Q5" s="99"/>
    </x:row>
    <x:row r="6" ht="24" hidden="0" customHeight="1">
      <x:c r="A6" s="31" t="str">
        <x:v>Số camera</x:v>
      </x:c>
      <x:c r="B6" s="100" t="n">
        <x:f>'04_Chi_phi_chi_tiet'!B19</x:f>
        <x:v>8</x:v>
      </x:c>
      <x:c r="C6" s="31" t="str">
        <x:v>camera</x:v>
      </x:c>
      <x:c r="D6" s="31" t="str">
        <x:v>Kịch bản POC</x:v>
      </x:c>
      <x:c r="E6" s="99"/>
      <x:c r="F6" s="99"/>
      <x:c r="G6" s="99"/>
      <x:c r="H6" s="99"/>
      <x:c r="I6" s="99"/>
      <x:c r="J6" s="99"/>
      <x:c r="K6" s="99"/>
      <x:c r="L6" s="99"/>
      <x:c r="M6" s="99"/>
      <x:c r="N6" s="99"/>
      <x:c r="O6" s="99"/>
      <x:c r="P6" s="99"/>
      <x:c r="Q6" s="99"/>
    </x:row>
    <x:row r="7" ht="24" hidden="0" customHeight="1">
      <x:c r="A7" s="31" t="str">
        <x:v>Bitrate</x:v>
      </x:c>
      <x:c r="B7" s="100" t="n">
        <x:f>'04_Chi_phi_chi_tiet'!B8</x:f>
        <x:v>2</x:v>
      </x:c>
      <x:c r="C7" s="31" t="str">
        <x:v>Mbps/camera</x:v>
      </x:c>
      <x:c r="D7" s="31" t="str">
        <x:v>Sheet 04</x:v>
      </x:c>
      <x:c r="E7" s="99"/>
      <x:c r="F7" s="99"/>
      <x:c r="G7" s="99"/>
      <x:c r="H7" s="99"/>
      <x:c r="I7" s="99"/>
      <x:c r="J7" s="99"/>
      <x:c r="K7" s="99"/>
      <x:c r="L7" s="99"/>
      <x:c r="M7" s="99"/>
      <x:c r="N7" s="99"/>
      <x:c r="O7" s="99"/>
      <x:c r="P7" s="99"/>
      <x:c r="Q7" s="99"/>
    </x:row>
    <x:row r="8" ht="24" hidden="0" customHeight="1">
      <x:c r="A8" s="31" t="str">
        <x:v>Thời gian lưu</x:v>
      </x:c>
      <x:c r="B8" s="100" t="n">
        <x:f>'04_Chi_phi_chi_tiet'!B9</x:f>
        <x:v>30</x:v>
      </x:c>
      <x:c r="C8" s="31" t="str">
        <x:v>ngày</x:v>
      </x:c>
      <x:c r="D8" s="31" t="str">
        <x:v>Sheet 04</x:v>
      </x:c>
      <x:c r="E8" s="99"/>
      <x:c r="F8" s="99"/>
      <x:c r="G8" s="99"/>
      <x:c r="H8" s="99"/>
      <x:c r="I8" s="99"/>
      <x:c r="J8" s="99"/>
      <x:c r="K8" s="99"/>
      <x:c r="L8" s="99"/>
      <x:c r="M8" s="99"/>
      <x:c r="N8" s="99"/>
      <x:c r="O8" s="99"/>
      <x:c r="P8" s="99"/>
      <x:c r="Q8" s="99"/>
    </x:row>
    <x:row r="9" ht="15" hidden="0" customHeight="1">
      <x:c r="A9" s="99"/>
      <x:c r="B9" s="99"/>
      <x:c r="C9" s="99"/>
      <x:c r="D9" s="99"/>
      <x:c r="E9" s="99"/>
      <x:c r="F9" s="99"/>
      <x:c r="G9" s="99"/>
      <x:c r="H9" s="99"/>
      <x:c r="I9" s="99"/>
      <x:c r="J9" s="99"/>
      <x:c r="K9" s="99"/>
      <x:c r="L9" s="99"/>
      <x:c r="M9" s="99"/>
      <x:c r="N9" s="99"/>
      <x:c r="O9" s="99"/>
      <x:c r="P9" s="99"/>
      <x:c r="Q9" s="99"/>
    </x:row>
    <x:row r="10" ht="15" hidden="0" customHeight="1">
      <x:c r="A10" s="25" t="str">
        <x:v>Ước tính chi phí hạ tầng cloud</x:v>
      </x:c>
      <x:c r="B10" s="25"/>
      <x:c r="C10" s="25"/>
      <x:c r="D10" s="25"/>
      <x:c r="E10" s="25"/>
      <x:c r="F10" s="25"/>
      <x:c r="G10" s="25"/>
      <x:c r="H10" s="25"/>
      <x:c r="I10" s="25"/>
      <x:c r="J10" s="99"/>
      <x:c r="K10" s="99"/>
      <x:c r="L10" s="99"/>
      <x:c r="M10" s="99"/>
      <x:c r="N10" s="99"/>
      <x:c r="O10" s="99"/>
      <x:c r="P10" s="99"/>
      <x:c r="Q10" s="99"/>
    </x:row>
    <x:row r="11" ht="48" hidden="0" customHeight="1">
      <x:c r="A11" s="29" t="str">
        <x:v>Cloud</x:v>
      </x:c>
      <x:c r="B11" s="29" t="str">
        <x:v>GPU tham chiếu</x:v>
      </x:c>
      <x:c r="C11" s="29" t="str">
        <x:v>Vùng</x:v>
      </x:c>
      <x:c r="D11" s="29" t="str">
        <x:v>GPU</x:v>
      </x:c>
      <x:c r="E11" s="29" t="str">
        <x:v>Lưu sự kiện VND/tháng</x:v>
      </x:c>
      <x:c r="F11" s="29" t="str">
        <x:v>Lưu liên tục VND/tháng</x:v>
      </x:c>
      <x:c r="G11" s="29" t="str">
        <x:v>POC 3 tháng – event</x:v>
      </x:c>
      <x:c r="H11" s="29" t="str">
        <x:v>Nhận xét</x:v>
      </x:c>
      <x:c r="I11" s="29" t="str">
        <x:v>Nguồn</x:v>
      </x:c>
      <x:c r="J11" s="99"/>
      <x:c r="K11" s="99"/>
      <x:c r="L11" s="99"/>
      <x:c r="M11" s="99"/>
      <x:c r="N11" s="99"/>
      <x:c r="O11" s="99"/>
      <x:c r="P11" s="99"/>
      <x:c r="Q11" s="99"/>
    </x:row>
    <x:row r="12" ht="84" hidden="0" customHeight="1">
      <x:c r="A12" s="31" t="str">
        <x:v>Azure</x:v>
      </x:c>
      <x:c r="B12" s="31" t="str">
        <x:v>NC4as_T4_v3</x:v>
      </x:c>
      <x:c r="C12" s="31" t="str">
        <x:v>Southeast Asia</x:v>
      </x:c>
      <x:c r="D12" s="31" t="str">
        <x:v>T4 16GB</x:v>
      </x:c>
      <x:c r="E12" s="101" t="n">
        <x:f>'04_Chi_phi_chi_tiet'!M19</x:f>
        <x:v>16679100.000000002</x:v>
      </x:c>
      <x:c r="F12" s="101" t="n">
        <x:f>'04_Chi_phi_chi_tiet'!N19</x:f>
        <x:v>19161620.000000004</x:v>
      </x:c>
      <x:c r="G12" s="101" t="n">
        <x:f>'04_Chi_phi_chi_tiet'!O19</x:f>
        <x:v>50037300.00000001</x:v>
      </x:c>
      <x:c r="H12" s="31" t="str">
        <x:v>Phù hợp nếu doanh nghiệp dùng hệ sinh thái Microsoft/Azure</x:v>
      </x:c>
      <x:c r="I12" s="31" t="str">
        <x:v>S01–S04</x:v>
      </x:c>
      <x:c r="J12" s="99"/>
      <x:c r="K12" s="99"/>
      <x:c r="L12" s="99"/>
      <x:c r="M12" s="99"/>
      <x:c r="N12" s="99"/>
      <x:c r="O12" s="99"/>
      <x:c r="P12" s="99"/>
      <x:c r="Q12" s="99"/>
    </x:row>
    <x:row r="13" ht="84" hidden="0" customHeight="1">
      <x:c r="A13" s="31" t="str">
        <x:v>AWS</x:v>
      </x:c>
      <x:c r="B13" s="31" t="str">
        <x:v>g4dn.xlarge</x:v>
      </x:c>
      <x:c r="C13" s="31" t="str">
        <x:v>Singapore</x:v>
      </x:c>
      <x:c r="D13" s="31" t="str">
        <x:v>T4 16GB</x:v>
      </x:c>
      <x:c r="E13" s="101" t="n">
        <x:f>'04_Chi_phi_chi_tiet'!M20</x:f>
        <x:v>16556670</x:v>
      </x:c>
      <x:c r="F13" s="101" t="n">
        <x:f>'04_Chi_phi_chi_tiet'!N20</x:f>
        <x:v>19659820</x:v>
      </x:c>
      <x:c r="G13" s="101" t="n">
        <x:f>'04_Chi_phi_chi_tiet'!O20</x:f>
        <x:v>49670010</x:v>
      </x:c>
      <x:c r="H13" s="31" t="str">
        <x:v>Danh mục dịch vụ rộng; giá S3 Standard cao hơn trong ví dụ</x:v>
      </x:c>
      <x:c r="I13" s="31" t="str">
        <x:v>S05–S07</x:v>
      </x:c>
      <x:c r="J13" s="99"/>
      <x:c r="K13" s="99"/>
      <x:c r="L13" s="99"/>
      <x:c r="M13" s="99"/>
      <x:c r="N13" s="99"/>
      <x:c r="O13" s="99"/>
      <x:c r="P13" s="99"/>
      <x:c r="Q13" s="99"/>
    </x:row>
    <x:row r="14" ht="72" hidden="0" customHeight="1">
      <x:c r="A14" s="31" t="str">
        <x:v>GCP</x:v>
      </x:c>
      <x:c r="B14" s="31" t="str">
        <x:v>g2-standard-4</x:v>
      </x:c>
      <x:c r="C14" s="31" t="str">
        <x:v>Singapore</x:v>
      </x:c>
      <x:c r="D14" s="31" t="str">
        <x:v>L4 24GB</x:v>
      </x:c>
      <x:c r="E14" s="101" t="n">
        <x:f>'04_Chi_phi_chi_tiet'!M21</x:f>
        <x:v>15992475.725</x:v>
      </x:c>
      <x:c r="F14" s="101" t="n">
        <x:f>'04_Chi_phi_chi_tiet'!N21</x:f>
        <x:v>18847373.724999998</x:v>
      </x:c>
      <x:c r="G14" s="101" t="n">
        <x:f>'04_Chi_phi_chi_tiet'!O21</x:f>
        <x:v>47977427.175</x:v>
      </x:c>
      <x:c r="H14" s="31" t="str">
        <x:v>L4 có lợi cho inference; giá lấy từ calculator chính thức</x:v>
      </x:c>
      <x:c r="I14" s="31" t="str">
        <x:v>S08–S10</x:v>
      </x:c>
      <x:c r="J14" s="99"/>
      <x:c r="K14" s="99"/>
      <x:c r="L14" s="99"/>
      <x:c r="M14" s="99"/>
      <x:c r="N14" s="99"/>
      <x:c r="O14" s="99"/>
      <x:c r="P14" s="99"/>
      <x:c r="Q14" s="99"/>
    </x:row>
    <x:row r="15" ht="15" hidden="0" customHeight="1">
      <x:c r="A15" s="99"/>
      <x:c r="B15" s="99"/>
      <x:c r="C15" s="99"/>
      <x:c r="D15" s="99"/>
      <x:c r="E15" s="99"/>
      <x:c r="F15" s="99"/>
      <x:c r="G15" s="99"/>
      <x:c r="H15" s="99"/>
      <x:c r="I15" s="99"/>
      <x:c r="J15" s="99"/>
      <x:c r="K15" s="99"/>
      <x:c r="L15" s="99"/>
      <x:c r="M15" s="99"/>
      <x:c r="N15" s="99"/>
      <x:c r="O15" s="99"/>
      <x:c r="P15" s="99"/>
      <x:c r="Q15" s="99"/>
    </x:row>
    <x:row r="16">
      <x:c r="A16" s="89" t="str">
        <x:v>Khuyến nghị: không chọn cloud chỉ vì chênh vài triệu đồng/tháng trong bảng POC. Hãy ưu tiên (1) nền tảng doanh nghiệp đã có hợp đồng và đội vận hành, (2) chính sách dữ liệu/bảo mật, (3) độ trễ kết nối xưởng, và (4) kết quả benchmark mô hình trên video thật. Nếu lưu video liên tục tại NVR/VMS và chỉ đẩy sự kiện lên cloud, chi phí và băng thông sẽ dễ kiểm soát hơn.</x:v>
      </x:c>
      <x:c r="B16" s="90"/>
      <x:c r="C16" s="90"/>
      <x:c r="D16" s="90"/>
      <x:c r="E16" s="90"/>
      <x:c r="F16" s="90"/>
      <x:c r="G16" s="90"/>
      <x:c r="H16" s="90"/>
      <x:c r="I16" s="91"/>
      <x:c r="J16" s="99"/>
      <x:c r="K16" s="99"/>
      <x:c r="L16" s="99"/>
      <x:c r="M16" s="99"/>
      <x:c r="N16" s="99"/>
      <x:c r="O16" s="99"/>
      <x:c r="P16" s="99"/>
      <x:c r="Q16" s="99"/>
    </x:row>
    <x:row r="17">
      <x:c r="A17" s="92"/>
      <x:c r="B17" s="93"/>
      <x:c r="C17" s="93"/>
      <x:c r="D17" s="93"/>
      <x:c r="E17" s="93"/>
      <x:c r="F17" s="93"/>
      <x:c r="G17" s="93"/>
      <x:c r="H17" s="93"/>
      <x:c r="I17" s="94"/>
      <x:c r="J17" s="99"/>
      <x:c r="K17" s="99"/>
      <x:c r="L17" s="99"/>
      <x:c r="M17" s="99"/>
      <x:c r="N17" s="99"/>
      <x:c r="O17" s="99"/>
      <x:c r="P17" s="99"/>
      <x:c r="Q17" s="99"/>
    </x:row>
    <x:row r="18">
      <x:c r="A18" s="95"/>
      <x:c r="B18" s="96"/>
      <x:c r="C18" s="96"/>
      <x:c r="D18" s="96"/>
      <x:c r="E18" s="96"/>
      <x:c r="F18" s="96"/>
      <x:c r="G18" s="96"/>
      <x:c r="H18" s="96"/>
      <x:c r="I18" s="97"/>
      <x:c r="J18" s="99"/>
      <x:c r="K18" s="99"/>
      <x:c r="L18" s="99"/>
      <x:c r="M18" s="99"/>
      <x:c r="N18" s="99"/>
      <x:c r="O18" s="99"/>
      <x:c r="P18" s="99"/>
      <x:c r="Q18" s="99"/>
    </x:row>
    <x:row r="19" ht="15" hidden="0" customHeight="1">
      <x:c r="A19" s="99"/>
      <x:c r="B19" s="99"/>
      <x:c r="C19" s="99"/>
      <x:c r="D19" s="99"/>
      <x:c r="E19" s="99"/>
      <x:c r="F19" s="99"/>
      <x:c r="G19" s="99"/>
      <x:c r="H19" s="99"/>
      <x:c r="I19" s="99"/>
      <x:c r="J19" s="99"/>
      <x:c r="K19" s="99"/>
      <x:c r="L19" s="99"/>
      <x:c r="M19" s="99"/>
      <x:c r="N19" s="99"/>
      <x:c r="O19" s="99"/>
      <x:c r="P19" s="99"/>
      <x:c r="Q19" s="99"/>
    </x:row>
    <x:row r="20" ht="15" hidden="0" customHeight="1">
      <x:c r="A20" s="25" t="str">
        <x:v>Cách sử dụng file</x:v>
      </x:c>
      <x:c r="B20" s="25"/>
      <x:c r="C20" s="25"/>
      <x:c r="D20" s="25"/>
      <x:c r="E20" s="25"/>
      <x:c r="F20" s="25"/>
      <x:c r="G20" s="25"/>
      <x:c r="H20" s="25"/>
      <x:c r="I20" s="25"/>
      <x:c r="J20" s="99"/>
      <x:c r="K20" s="99"/>
      <x:c r="L20" s="99"/>
      <x:c r="M20" s="99"/>
      <x:c r="N20" s="99"/>
      <x:c r="O20" s="99"/>
      <x:c r="P20" s="99"/>
      <x:c r="Q20" s="99"/>
    </x:row>
    <x:row r="21" ht="15" hidden="0" customHeight="1">
      <x:c r="A21" s="29" t="str">
        <x:v>Bước</x:v>
      </x:c>
      <x:c r="B21" s="29" t="str">
        <x:v>Thao tác</x:v>
      </x:c>
      <x:c r="C21" s="29"/>
      <x:c r="D21" s="29"/>
      <x:c r="E21" s="29"/>
      <x:c r="F21" s="29"/>
      <x:c r="G21" s="29" t="str">
        <x:v>Kết quả</x:v>
      </x:c>
      <x:c r="H21" s="29"/>
      <x:c r="I21" s="29"/>
      <x:c r="J21" s="99"/>
      <x:c r="K21" s="99"/>
      <x:c r="L21" s="99"/>
      <x:c r="M21" s="99"/>
      <x:c r="N21" s="99"/>
      <x:c r="O21" s="99"/>
      <x:c r="P21" s="99"/>
      <x:c r="Q21" s="99"/>
    </x:row>
    <x:row r="22" ht="24" hidden="0" customHeight="1">
      <x:c r="A22" s="31" t="n">
        <x:v>1</x:v>
      </x:c>
      <x:c r="B22" s="31" t="str">
        <x:v>Đổi các ô vàng ở sheet 04: camera, GPU nodes, GB lưu sự kiện, ops/network</x:v>
      </x:c>
      <x:c r="C22" s="31"/>
      <x:c r="D22" s="31"/>
      <x:c r="E22" s="31"/>
      <x:c r="F22" s="31"/>
      <x:c r="G22" s="31" t="str">
        <x:v>Bảng chi phí tự tính lại</x:v>
      </x:c>
      <x:c r="H22" s="31"/>
      <x:c r="I22" s="31"/>
      <x:c r="J22" s="99"/>
      <x:c r="K22" s="99"/>
      <x:c r="L22" s="99"/>
      <x:c r="M22" s="99"/>
      <x:c r="N22" s="99"/>
      <x:c r="O22" s="99"/>
      <x:c r="P22" s="99"/>
      <x:c r="Q22" s="99"/>
    </x:row>
    <x:row r="23" ht="15" hidden="0" customHeight="1">
      <x:c r="A23" s="31" t="n">
        <x:v>2</x:v>
      </x:c>
      <x:c r="B23" s="31" t="str">
        <x:v>Thay đơn giá khi nhận báo giá/discount chính thức</x:v>
      </x:c>
      <x:c r="C23" s="31"/>
      <x:c r="D23" s="31"/>
      <x:c r="E23" s="31"/>
      <x:c r="F23" s="31"/>
      <x:c r="G23" s="31" t="str">
        <x:v>Có ngân sách sát hợp đồng</x:v>
      </x:c>
      <x:c r="H23" s="31"/>
      <x:c r="I23" s="31"/>
      <x:c r="J23" s="99"/>
      <x:c r="K23" s="99"/>
      <x:c r="L23" s="99"/>
      <x:c r="M23" s="99"/>
      <x:c r="N23" s="99"/>
      <x:c r="O23" s="99"/>
      <x:c r="P23" s="99"/>
      <x:c r="Q23" s="99"/>
    </x:row>
    <x:row r="24" ht="24" hidden="0" customHeight="1">
      <x:c r="A24" s="31" t="n">
        <x:v>3</x:v>
      </x:c>
      <x:c r="B24" s="31" t="str">
        <x:v>So sánh với benchmark FPS/độ chính xác của từng mô hình</x:v>
      </x:c>
      <x:c r="C24" s="31"/>
      <x:c r="D24" s="31"/>
      <x:c r="E24" s="31"/>
      <x:c r="F24" s="31"/>
      <x:c r="G24" s="31" t="str">
        <x:v>Chốt cấu hình và nhà cung cấp</x:v>
      </x:c>
      <x:c r="H24" s="31"/>
      <x:c r="I24" s="31"/>
      <x:c r="J24" s="99"/>
      <x:c r="K24" s="99"/>
      <x:c r="L24" s="99"/>
      <x:c r="M24" s="99"/>
      <x:c r="N24" s="99"/>
      <x:c r="O24" s="99"/>
      <x:c r="P24" s="99"/>
      <x:c r="Q24" s="99"/>
    </x:row>
    <x:row r="25">
      <x:c r="A25" s="99"/>
      <x:c r="B25" s="99"/>
      <x:c r="C25" s="99"/>
      <x:c r="D25" s="99"/>
      <x:c r="E25" s="99"/>
      <x:c r="F25" s="99"/>
      <x:c r="G25" s="99"/>
      <x:c r="H25" s="99"/>
      <x:c r="I25" s="99"/>
      <x:c r="J25" s="99"/>
      <x:c r="K25" s="99"/>
      <x:c r="L25" s="99"/>
      <x:c r="M25" s="99"/>
      <x:c r="N25" s="99"/>
      <x:c r="O25" s="99"/>
      <x:c r="P25" s="99"/>
      <x:c r="Q25" s="99"/>
    </x:row>
    <x:row r="26">
      <x:c r="A26" s="99"/>
      <x:c r="B26" s="99"/>
      <x:c r="C26" s="99"/>
      <x:c r="D26" s="99"/>
      <x:c r="E26" s="99"/>
      <x:c r="F26" s="99"/>
      <x:c r="G26" s="99"/>
      <x:c r="H26" s="99"/>
      <x:c r="I26" s="99"/>
      <x:c r="J26" s="99"/>
      <x:c r="K26" s="99"/>
      <x:c r="L26" s="99"/>
      <x:c r="M26" s="99"/>
      <x:c r="N26" s="99"/>
      <x:c r="O26" s="99"/>
      <x:c r="P26" s="99"/>
      <x:c r="Q26" s="99"/>
    </x:row>
    <x:row r="27">
      <x:c r="A27" s="99"/>
      <x:c r="B27" s="99"/>
      <x:c r="C27" s="99"/>
      <x:c r="D27" s="99"/>
      <x:c r="E27" s="99"/>
      <x:c r="F27" s="99"/>
      <x:c r="G27" s="99"/>
      <x:c r="H27" s="99"/>
      <x:c r="I27" s="99"/>
      <x:c r="J27" s="99"/>
      <x:c r="K27" s="99"/>
      <x:c r="L27" s="99"/>
      <x:c r="M27" s="99"/>
      <x:c r="N27" s="99"/>
      <x:c r="O27" s="99"/>
      <x:c r="P27" s="99"/>
      <x:c r="Q27" s="99"/>
    </x:row>
    <x:row r="28">
      <x:c r="A28" s="99"/>
      <x:c r="B28" s="99"/>
      <x:c r="C28" s="99"/>
      <x:c r="D28" s="99"/>
      <x:c r="E28" s="99"/>
      <x:c r="F28" s="99"/>
      <x:c r="G28" s="99"/>
      <x:c r="H28" s="99"/>
      <x:c r="I28" s="99"/>
      <x:c r="J28" s="99"/>
      <x:c r="K28" s="99"/>
      <x:c r="L28" s="99"/>
      <x:c r="M28" s="99"/>
      <x:c r="N28" s="99"/>
      <x:c r="O28" s="99"/>
      <x:c r="P28" s="99"/>
      <x:c r="Q28" s="99"/>
    </x:row>
    <x:row r="29">
      <x:c r="A29" s="99"/>
      <x:c r="B29" s="99"/>
      <x:c r="C29" s="99"/>
      <x:c r="D29" s="99"/>
      <x:c r="E29" s="99"/>
      <x:c r="F29" s="99"/>
      <x:c r="G29" s="99"/>
      <x:c r="H29" s="99"/>
      <x:c r="I29" s="99"/>
      <x:c r="J29" s="99"/>
      <x:c r="K29" s="99"/>
      <x:c r="L29" s="99"/>
      <x:c r="M29" s="99"/>
      <x:c r="N29" s="99"/>
      <x:c r="O29" s="99"/>
      <x:c r="P29" s="99"/>
      <x:c r="Q29" s="99"/>
    </x:row>
    <x:row r="30">
      <x:c r="A30" s="99"/>
      <x:c r="B30" s="99"/>
      <x:c r="C30" s="99"/>
      <x:c r="D30" s="99"/>
      <x:c r="E30" s="99"/>
      <x:c r="F30" s="99"/>
      <x:c r="G30" s="99"/>
      <x:c r="H30" s="99"/>
      <x:c r="I30" s="99"/>
      <x:c r="J30" s="99"/>
      <x:c r="K30" s="99"/>
      <x:c r="L30" s="99"/>
      <x:c r="M30" s="99"/>
      <x:c r="N30" s="99"/>
      <x:c r="O30" s="99"/>
      <x:c r="P30" s="99"/>
      <x:c r="Q30" s="99"/>
    </x:row>
    <x:row r="31">
      <x:c r="A31" s="99"/>
      <x:c r="B31" s="99"/>
      <x:c r="C31" s="99"/>
      <x:c r="D31" s="99"/>
      <x:c r="E31" s="99"/>
      <x:c r="F31" s="99"/>
      <x:c r="G31" s="99"/>
      <x:c r="H31" s="99"/>
      <x:c r="I31" s="99"/>
      <x:c r="J31" s="99"/>
      <x:c r="K31" s="99"/>
      <x:c r="L31" s="99"/>
      <x:c r="M31" s="99"/>
      <x:c r="N31" s="99"/>
      <x:c r="O31" s="99"/>
      <x:c r="P31" s="99"/>
      <x:c r="Q31" s="99"/>
    </x:row>
    <x:row r="32">
      <x:c r="A32" s="99"/>
      <x:c r="B32" s="99"/>
      <x:c r="C32" s="99"/>
      <x:c r="D32" s="99"/>
      <x:c r="E32" s="99"/>
      <x:c r="F32" s="99"/>
      <x:c r="G32" s="99"/>
      <x:c r="H32" s="99"/>
      <x:c r="I32" s="99"/>
      <x:c r="J32" s="99"/>
      <x:c r="K32" s="99"/>
      <x:c r="L32" s="99"/>
      <x:c r="M32" s="99"/>
      <x:c r="N32" s="99"/>
      <x:c r="O32" s="99"/>
      <x:c r="P32" s="99"/>
      <x:c r="Q32" s="99"/>
    </x:row>
    <x:row r="33">
      <x:c r="A33" s="99"/>
      <x:c r="B33" s="99"/>
      <x:c r="C33" s="99"/>
      <x:c r="D33" s="99"/>
      <x:c r="E33" s="99"/>
      <x:c r="F33" s="99"/>
      <x:c r="G33" s="99"/>
      <x:c r="H33" s="99"/>
      <x:c r="I33" s="99"/>
      <x:c r="J33" s="99"/>
      <x:c r="K33" s="99"/>
      <x:c r="L33" s="99"/>
      <x:c r="M33" s="99"/>
      <x:c r="N33" s="99"/>
      <x:c r="O33" s="99"/>
      <x:c r="P33" s="99"/>
      <x:c r="Q33" s="99"/>
    </x:row>
    <x:row r="34">
      <x:c r="A34" s="99"/>
      <x:c r="B34" s="99"/>
      <x:c r="C34" s="99"/>
      <x:c r="D34" s="99"/>
      <x:c r="E34" s="99"/>
      <x:c r="F34" s="99"/>
      <x:c r="G34" s="99"/>
      <x:c r="H34" s="99"/>
      <x:c r="I34" s="99"/>
      <x:c r="J34" s="99"/>
      <x:c r="K34" s="99"/>
      <x:c r="L34" s="99"/>
      <x:c r="M34" s="99"/>
      <x:c r="N34" s="99"/>
      <x:c r="O34" s="99"/>
      <x:c r="P34" s="99"/>
      <x:c r="Q34" s="99"/>
    </x:row>
    <x:row r="35">
      <x:c r="A35" s="99"/>
      <x:c r="B35" s="99"/>
      <x:c r="C35" s="99"/>
      <x:c r="D35" s="99"/>
      <x:c r="E35" s="99"/>
      <x:c r="F35" s="99"/>
      <x:c r="G35" s="99"/>
      <x:c r="H35" s="99"/>
      <x:c r="I35" s="99"/>
      <x:c r="J35" s="99"/>
      <x:c r="K35" s="99"/>
      <x:c r="L35" s="99"/>
      <x:c r="M35" s="99"/>
      <x:c r="N35" s="99"/>
      <x:c r="O35" s="99"/>
      <x:c r="P35" s="99"/>
      <x:c r="Q35" s="99"/>
    </x:row>
    <x:row r="36">
      <x:c r="A36" s="99"/>
      <x:c r="B36" s="99"/>
      <x:c r="C36" s="99"/>
      <x:c r="D36" s="99"/>
      <x:c r="E36" s="99"/>
      <x:c r="F36" s="99"/>
      <x:c r="G36" s="99"/>
      <x:c r="H36" s="99"/>
      <x:c r="I36" s="99"/>
      <x:c r="J36" s="99"/>
      <x:c r="K36" s="99"/>
      <x:c r="L36" s="99"/>
      <x:c r="M36" s="99"/>
      <x:c r="N36" s="99"/>
      <x:c r="O36" s="99"/>
      <x:c r="P36" s="99"/>
      <x:c r="Q36" s="99"/>
    </x:row>
    <x:row r="37">
      <x:c r="A37" s="99"/>
      <x:c r="B37" s="99"/>
      <x:c r="C37" s="99"/>
      <x:c r="D37" s="99"/>
      <x:c r="E37" s="99"/>
      <x:c r="F37" s="99"/>
      <x:c r="G37" s="99"/>
      <x:c r="H37" s="99"/>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row r="61">
      <x:c r="A61" s="99"/>
      <x:c r="B61" s="99"/>
      <x:c r="C61" s="99"/>
      <x:c r="D61" s="99"/>
      <x:c r="E61" s="99"/>
      <x:c r="F61" s="99"/>
      <x:c r="G61" s="99"/>
      <x:c r="H61" s="99"/>
      <x:c r="I61" s="99"/>
      <x:c r="J61" s="99"/>
      <x:c r="K61" s="99"/>
      <x:c r="L61" s="99"/>
      <x:c r="M61" s="99"/>
      <x:c r="N61" s="99"/>
      <x:c r="O61" s="99"/>
      <x:c r="P61" s="99"/>
      <x:c r="Q61" s="99"/>
    </x:row>
    <x:row r="62">
      <x:c r="A62" s="99"/>
      <x:c r="B62" s="99"/>
      <x:c r="C62" s="99"/>
      <x:c r="D62" s="99"/>
      <x:c r="E62" s="99"/>
      <x:c r="F62" s="99"/>
      <x:c r="G62" s="99"/>
      <x:c r="H62" s="99"/>
      <x:c r="I62" s="99"/>
      <x:c r="J62" s="99"/>
      <x:c r="K62" s="99"/>
      <x:c r="L62" s="99"/>
      <x:c r="M62" s="99"/>
      <x:c r="N62" s="99"/>
      <x:c r="O62" s="99"/>
      <x:c r="P62" s="99"/>
      <x:c r="Q62" s="99"/>
    </x:row>
    <x:row r="63">
      <x:c r="A63" s="99"/>
      <x:c r="B63" s="99"/>
      <x:c r="C63" s="99"/>
      <x:c r="D63" s="99"/>
      <x:c r="E63" s="99"/>
      <x:c r="F63" s="99"/>
      <x:c r="G63" s="99"/>
      <x:c r="H63" s="99"/>
      <x:c r="I63" s="99"/>
      <x:c r="J63" s="99"/>
      <x:c r="K63" s="99"/>
      <x:c r="L63" s="99"/>
      <x:c r="M63" s="99"/>
      <x:c r="N63" s="99"/>
      <x:c r="O63" s="99"/>
      <x:c r="P63" s="99"/>
      <x:c r="Q63" s="99"/>
    </x:row>
    <x:row r="64">
      <x:c r="A64" s="99"/>
      <x:c r="B64" s="99"/>
      <x:c r="C64" s="99"/>
      <x:c r="D64" s="99"/>
      <x:c r="E64" s="99"/>
      <x:c r="F64" s="99"/>
      <x:c r="G64" s="99"/>
      <x:c r="H64" s="99"/>
      <x:c r="I64" s="99"/>
      <x:c r="J64" s="99"/>
      <x:c r="K64" s="99"/>
      <x:c r="L64" s="99"/>
      <x:c r="M64" s="99"/>
      <x:c r="N64" s="99"/>
      <x:c r="O64" s="99"/>
      <x:c r="P64" s="99"/>
      <x:c r="Q64" s="99"/>
    </x:row>
    <x:row r="65">
      <x:c r="A65" s="99"/>
      <x:c r="B65" s="99"/>
      <x:c r="C65" s="99"/>
      <x:c r="D65" s="99"/>
      <x:c r="E65" s="99"/>
      <x:c r="F65" s="99"/>
      <x:c r="G65" s="99"/>
      <x:c r="H65" s="99"/>
      <x:c r="I65" s="99"/>
      <x:c r="J65" s="99"/>
      <x:c r="K65" s="99"/>
      <x:c r="L65" s="99"/>
      <x:c r="M65" s="99"/>
      <x:c r="N65" s="99"/>
      <x:c r="O65" s="99"/>
      <x:c r="P65" s="99"/>
      <x:c r="Q65" s="99"/>
    </x:row>
    <x:row r="66">
      <x:c r="A66" s="99"/>
      <x:c r="B66" s="99"/>
      <x:c r="C66" s="99"/>
      <x:c r="D66" s="99"/>
      <x:c r="E66" s="99"/>
      <x:c r="F66" s="99"/>
      <x:c r="G66" s="99"/>
      <x:c r="H66" s="99"/>
      <x:c r="I66" s="99"/>
      <x:c r="J66" s="99"/>
      <x:c r="K66" s="99"/>
      <x:c r="L66" s="99"/>
      <x:c r="M66" s="99"/>
      <x:c r="N66" s="99"/>
      <x:c r="O66" s="99"/>
      <x:c r="P66" s="99"/>
      <x:c r="Q66" s="99"/>
    </x:row>
    <x:row r="67">
      <x:c r="A67" s="99"/>
      <x:c r="B67" s="99"/>
      <x:c r="C67" s="99"/>
      <x:c r="D67" s="99"/>
      <x:c r="E67" s="99"/>
      <x:c r="F67" s="99"/>
      <x:c r="G67" s="99"/>
      <x:c r="H67" s="99"/>
      <x:c r="I67" s="99"/>
      <x:c r="J67" s="99"/>
      <x:c r="K67" s="99"/>
      <x:c r="L67" s="99"/>
      <x:c r="M67" s="99"/>
      <x:c r="N67" s="99"/>
      <x:c r="O67" s="99"/>
      <x:c r="P67" s="99"/>
      <x:c r="Q67" s="99"/>
    </x:row>
    <x:row r="68">
      <x:c r="A68" s="99"/>
      <x:c r="B68" s="99"/>
      <x:c r="C68" s="99"/>
      <x:c r="D68" s="99"/>
      <x:c r="E68" s="99"/>
      <x:c r="F68" s="99"/>
      <x:c r="G68" s="99"/>
      <x:c r="H68" s="99"/>
      <x:c r="I68" s="99"/>
      <x:c r="J68" s="99"/>
      <x:c r="K68" s="99"/>
      <x:c r="L68" s="99"/>
      <x:c r="M68" s="99"/>
      <x:c r="N68" s="99"/>
      <x:c r="O68" s="99"/>
      <x:c r="P68" s="99"/>
      <x:c r="Q68" s="99"/>
    </x:row>
    <x:row r="69">
      <x:c r="A69" s="99"/>
      <x:c r="B69" s="99"/>
      <x:c r="C69" s="99"/>
      <x:c r="D69" s="99"/>
      <x:c r="E69" s="99"/>
      <x:c r="F69" s="99"/>
      <x:c r="G69" s="99"/>
      <x:c r="H69" s="99"/>
      <x:c r="I69" s="99"/>
      <x:c r="J69" s="99"/>
      <x:c r="K69" s="99"/>
      <x:c r="L69" s="99"/>
      <x:c r="M69" s="99"/>
      <x:c r="N69" s="99"/>
      <x:c r="O69" s="99"/>
      <x:c r="P69" s="99"/>
      <x:c r="Q69" s="99"/>
    </x:row>
    <x:row r="70">
      <x:c r="A70" s="99"/>
      <x:c r="B70" s="99"/>
      <x:c r="C70" s="99"/>
      <x:c r="D70" s="99"/>
      <x:c r="E70" s="99"/>
      <x:c r="F70" s="99"/>
      <x:c r="G70" s="99"/>
      <x:c r="H70" s="99"/>
      <x:c r="I70" s="99"/>
      <x:c r="J70" s="99"/>
      <x:c r="K70" s="99"/>
      <x:c r="L70" s="99"/>
      <x:c r="M70" s="99"/>
      <x:c r="N70" s="99"/>
      <x:c r="O70" s="99"/>
      <x:c r="P70" s="99"/>
      <x:c r="Q70" s="99"/>
    </x:row>
    <x:row r="71">
      <x:c r="A71" s="99"/>
      <x:c r="B71" s="99"/>
      <x:c r="C71" s="99"/>
      <x:c r="D71" s="99"/>
      <x:c r="E71" s="99"/>
      <x:c r="F71" s="99"/>
      <x:c r="G71" s="99"/>
      <x:c r="H71" s="99"/>
      <x:c r="I71" s="99"/>
      <x:c r="J71" s="99"/>
      <x:c r="K71" s="99"/>
      <x:c r="L71" s="99"/>
      <x:c r="M71" s="99"/>
      <x:c r="N71" s="99"/>
      <x:c r="O71" s="99"/>
      <x:c r="P71" s="99"/>
      <x:c r="Q71" s="99"/>
    </x:row>
    <x:row r="72">
      <x:c r="A72" s="99"/>
      <x:c r="B72" s="99"/>
      <x:c r="C72" s="99"/>
      <x:c r="D72" s="99"/>
      <x:c r="E72" s="99"/>
      <x:c r="F72" s="99"/>
      <x:c r="G72" s="99"/>
      <x:c r="H72" s="99"/>
      <x:c r="I72" s="99"/>
      <x:c r="J72" s="99"/>
      <x:c r="K72" s="99"/>
      <x:c r="L72" s="99"/>
      <x:c r="M72" s="99"/>
      <x:c r="N72" s="99"/>
      <x:c r="O72" s="99"/>
      <x:c r="P72" s="99"/>
      <x:c r="Q72" s="99"/>
    </x:row>
    <x:row r="73">
      <x:c r="A73" s="99"/>
      <x:c r="B73" s="99"/>
      <x:c r="C73" s="99"/>
      <x:c r="D73" s="99"/>
      <x:c r="E73" s="99"/>
      <x:c r="F73" s="99"/>
      <x:c r="G73" s="99"/>
      <x:c r="H73" s="99"/>
      <x:c r="I73" s="99"/>
      <x:c r="J73" s="99"/>
      <x:c r="K73" s="99"/>
      <x:c r="L73" s="99"/>
      <x:c r="M73" s="99"/>
      <x:c r="N73" s="99"/>
      <x:c r="O73" s="99"/>
      <x:c r="P73" s="99"/>
      <x:c r="Q73" s="99"/>
    </x:row>
    <x:row r="74">
      <x:c r="A74" s="99"/>
      <x:c r="B74" s="99"/>
      <x:c r="C74" s="99"/>
      <x:c r="D74" s="99"/>
      <x:c r="E74" s="99"/>
      <x:c r="F74" s="99"/>
      <x:c r="G74" s="99"/>
      <x:c r="H74" s="99"/>
      <x:c r="I74" s="99"/>
      <x:c r="J74" s="99"/>
      <x:c r="K74" s="99"/>
      <x:c r="L74" s="99"/>
      <x:c r="M74" s="99"/>
      <x:c r="N74" s="99"/>
      <x:c r="O74" s="99"/>
      <x:c r="P74" s="99"/>
      <x:c r="Q74" s="99"/>
    </x:row>
    <x:row r="75">
      <x:c r="A75" s="99"/>
      <x:c r="B75" s="99"/>
      <x:c r="C75" s="99"/>
      <x:c r="D75" s="99"/>
      <x:c r="E75" s="99"/>
      <x:c r="F75" s="99"/>
      <x:c r="G75" s="99"/>
      <x:c r="H75" s="99"/>
      <x:c r="I75" s="99"/>
      <x:c r="J75" s="99"/>
      <x:c r="K75" s="99"/>
      <x:c r="L75" s="99"/>
      <x:c r="M75" s="99"/>
      <x:c r="N75" s="99"/>
      <x:c r="O75" s="99"/>
      <x:c r="P75" s="99"/>
      <x:c r="Q75" s="99"/>
    </x:row>
    <x:row r="76">
      <x:c r="A76" s="99"/>
      <x:c r="B76" s="99"/>
      <x:c r="C76" s="99"/>
      <x:c r="D76" s="99"/>
      <x:c r="E76" s="99"/>
      <x:c r="F76" s="99"/>
      <x:c r="G76" s="99"/>
      <x:c r="H76" s="99"/>
      <x:c r="I76" s="99"/>
      <x:c r="J76" s="99"/>
      <x:c r="K76" s="99"/>
      <x:c r="L76" s="99"/>
      <x:c r="M76" s="99"/>
      <x:c r="N76" s="99"/>
      <x:c r="O76" s="99"/>
      <x:c r="P76" s="99"/>
      <x:c r="Q76" s="99"/>
    </x:row>
    <x:row r="77">
      <x:c r="A77" s="99"/>
      <x:c r="B77" s="99"/>
      <x:c r="C77" s="99"/>
      <x:c r="D77" s="99"/>
      <x:c r="E77" s="99"/>
      <x:c r="F77" s="99"/>
      <x:c r="G77" s="99"/>
      <x:c r="H77" s="99"/>
      <x:c r="I77" s="99"/>
      <x:c r="J77" s="99"/>
      <x:c r="K77" s="99"/>
      <x:c r="L77" s="99"/>
      <x:c r="M77" s="99"/>
      <x:c r="N77" s="99"/>
      <x:c r="O77" s="99"/>
      <x:c r="P77" s="99"/>
      <x:c r="Q77" s="99"/>
    </x:row>
    <x:row r="78">
      <x:c r="A78" s="99"/>
      <x:c r="B78" s="99"/>
      <x:c r="C78" s="99"/>
      <x:c r="D78" s="99"/>
      <x:c r="E78" s="99"/>
      <x:c r="F78" s="99"/>
      <x:c r="G78" s="99"/>
      <x:c r="H78" s="99"/>
      <x:c r="I78" s="99"/>
      <x:c r="J78" s="99"/>
      <x:c r="K78" s="99"/>
      <x:c r="L78" s="99"/>
      <x:c r="M78" s="99"/>
      <x:c r="N78" s="99"/>
      <x:c r="O78" s="99"/>
      <x:c r="P78" s="99"/>
      <x:c r="Q78" s="99"/>
    </x:row>
    <x:row r="79">
      <x:c r="A79" s="99"/>
      <x:c r="B79" s="99"/>
      <x:c r="C79" s="99"/>
      <x:c r="D79" s="99"/>
      <x:c r="E79" s="99"/>
      <x:c r="F79" s="99"/>
      <x:c r="G79" s="99"/>
      <x:c r="H79" s="99"/>
      <x:c r="I79" s="99"/>
      <x:c r="J79" s="99"/>
      <x:c r="K79" s="99"/>
      <x:c r="L79" s="99"/>
      <x:c r="M79" s="99"/>
      <x:c r="N79" s="99"/>
      <x:c r="O79" s="99"/>
      <x:c r="P79" s="99"/>
      <x:c r="Q79" s="99"/>
    </x:row>
    <x:row r="80">
      <x:c r="A80" s="99"/>
      <x:c r="B80" s="99"/>
      <x:c r="C80" s="99"/>
      <x:c r="D80" s="99"/>
      <x:c r="E80" s="99"/>
      <x:c r="F80" s="99"/>
      <x:c r="G80" s="99"/>
      <x:c r="H80" s="99"/>
      <x:c r="I80" s="99"/>
      <x:c r="J80" s="99"/>
      <x:c r="K80" s="99"/>
      <x:c r="L80" s="99"/>
      <x:c r="M80" s="99"/>
      <x:c r="N80" s="99"/>
      <x:c r="O80" s="99"/>
      <x:c r="P80" s="99"/>
      <x:c r="Q80" s="99"/>
    </x:row>
  </x:sheetData>
  <x:mergeCells>
    <x:mergeCell ref="A1:I1"/>
    <x:mergeCell ref="A2:I2"/>
    <x:mergeCell ref="A10:I10"/>
    <x:mergeCell ref="A16:I18"/>
    <x:mergeCell ref="A20:I20"/>
    <x:mergeCell ref="B21:F21"/>
    <x:mergeCell ref="G21:I21"/>
    <x:mergeCell ref="B22:F22"/>
    <x:mergeCell ref="G22:I22"/>
    <x:mergeCell ref="B23:F23"/>
    <x:mergeCell ref="G23:I23"/>
    <x:mergeCell ref="B24:F24"/>
    <x:mergeCell ref="G24:I24"/>
  </x:mergeCells>
  <x:pageMargins left="0.7" right="0.7" top="0.75" bottom="0.75" header="0.3" footer="0.3"/>
</x:worksheet>
</file>

<file path=xl/worksheets/sheet4.xml><?xml version="1.0" encoding="utf-8"?>
<x:worksheet xmlns:x="http://schemas.openxmlformats.org/spreadsheetml/2006/main">
  <x:sheetPr>
    <x:tabColor rgb="FF1F4E78"/>
  </x:sheetPr>
  <x:sheetViews>
    <x:sheetView showGridLines="0" workbookViewId="0">
      <x:pane ySplit="18" topLeftCell="A19" activePane="bottomLeft" state="frozen"/>
    </x:sheetView>
  </x:sheetViews>
  <x:sheetFormatPr defaultRowHeight="15"/>
  <x:cols>
    <x:col min="1" max="1" width="15"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8" hidden="0" customWidth="1"/>
    <x:col min="9" max="9" width="18" hidden="0" customWidth="1"/>
    <x:col min="10" max="10" width="18"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21.600000381469727" hidden="0" customHeight="1">
      <x:c r="A1" s="5" t="str">
        <x:v>CHI PHÍ CLOUD – GIẢ ĐỊNH, ĐƠN GIÁ VÀ CÔNG THỨC</x:v>
      </x:c>
      <x:c r="B1" s="5"/>
      <x:c r="C1" s="5"/>
      <x:c r="D1" s="5"/>
      <x:c r="E1" s="5"/>
      <x:c r="F1" s="5"/>
      <x:c r="G1" s="5"/>
      <x:c r="H1" s="5"/>
      <x:c r="I1" s="5"/>
      <x:c r="J1" s="5"/>
      <x:c r="K1" s="5"/>
      <x:c r="L1" s="5"/>
      <x:c r="M1" s="5"/>
      <x:c r="N1" s="5"/>
      <x:c r="O1" s="5"/>
      <x:c r="P1" s="5"/>
      <x:c r="Q1" s="99"/>
    </x:row>
    <x:row r="2" ht="15" hidden="0" customHeight="1">
      <x:c r="A2" s="8" t="str">
        <x:v>Đơn giá công khai Pay-as-you-go/On-demand, Linux, vùng châu Á gần Việt Nam; chưa gồm thuế và chiết khấu doanh nghiệp.</x:v>
      </x:c>
      <x:c r="B2" s="8"/>
      <x:c r="C2" s="8"/>
      <x:c r="D2" s="8"/>
      <x:c r="E2" s="8"/>
      <x:c r="F2" s="8"/>
      <x:c r="G2" s="8"/>
      <x:c r="H2" s="8"/>
      <x:c r="I2" s="8"/>
      <x:c r="J2" s="8"/>
      <x:c r="K2" s="8"/>
      <x:c r="L2" s="8"/>
      <x:c r="M2" s="8"/>
      <x:c r="N2" s="8"/>
      <x:c r="O2" s="8"/>
      <x:c r="P2" s="8"/>
      <x:c r="Q2" s="99"/>
    </x:row>
    <x:row r="3" ht="15" hidden="0" customHeight="1">
      <x:c r="A3" s="99"/>
      <x:c r="B3" s="99"/>
      <x:c r="C3" s="99"/>
      <x:c r="D3" s="99"/>
      <x:c r="E3" s="99"/>
      <x:c r="F3" s="99"/>
      <x:c r="G3" s="99"/>
      <x:c r="H3" s="99"/>
      <x:c r="I3" s="99"/>
      <x:c r="J3" s="99"/>
      <x:c r="K3" s="99"/>
      <x:c r="L3" s="99"/>
      <x:c r="M3" s="99"/>
      <x:c r="N3" s="99"/>
      <x:c r="O3" s="99"/>
      <x:c r="P3" s="99"/>
      <x:c r="Q3" s="99"/>
    </x:row>
    <x:row r="4" ht="15" hidden="0" customHeight="1">
      <x:c r="A4" s="25" t="str">
        <x:v>A. Giả định chung (ô vàng có thể thay đổi)</x:v>
      </x:c>
      <x:c r="B4" s="25"/>
      <x:c r="C4" s="25"/>
      <x:c r="D4" s="25"/>
      <x:c r="E4" s="25"/>
      <x:c r="F4" s="25"/>
      <x:c r="G4" s="99"/>
      <x:c r="H4" s="99"/>
      <x:c r="I4" s="99"/>
      <x:c r="J4" s="99"/>
      <x:c r="K4" s="99"/>
      <x:c r="L4" s="99"/>
      <x:c r="M4" s="99"/>
      <x:c r="N4" s="99"/>
      <x:c r="O4" s="99"/>
      <x:c r="P4" s="99"/>
      <x:c r="Q4" s="99"/>
    </x:row>
    <x:row r="5" ht="15" hidden="0" customHeight="1">
      <x:c r="A5" s="29" t="str">
        <x:v>Biến</x:v>
      </x:c>
      <x:c r="B5" s="29" t="str">
        <x:v>Giá trị</x:v>
      </x:c>
      <x:c r="C5" s="29" t="str">
        <x:v>Đơn vị</x:v>
      </x:c>
      <x:c r="D5" s="99"/>
      <x:c r="E5" s="46" t="str">
        <x:v>Cách đọc: “Lưu sự kiện” chỉ đưa ảnh/clip cảnh báo lên cloud. “Lưu liên tục” là giả định toàn bộ luồng 24/7 được lưu trên cloud. Thực tế nên ưu tiên NVR/VMS tại xưởng cho video liên tục; cloud lưu sự kiện để giảm chi phí và rủi ro truyền tải.</x:v>
      </x:c>
      <x:c r="F5" s="47"/>
      <x:c r="G5" s="47"/>
      <x:c r="H5" s="47"/>
      <x:c r="I5" s="47"/>
      <x:c r="J5" s="47"/>
      <x:c r="K5" s="47"/>
      <x:c r="L5" s="47"/>
      <x:c r="M5" s="47"/>
      <x:c r="N5" s="47"/>
      <x:c r="O5" s="47"/>
      <x:c r="P5" s="48"/>
      <x:c r="Q5" s="99"/>
    </x:row>
    <x:row r="6" ht="24" hidden="0" customHeight="1">
      <x:c r="A6" s="31" t="str">
        <x:v>Tỷ giá quy đổi</x:v>
      </x:c>
      <x:c r="B6" s="102" t="n">
        <x:v>26500</x:v>
      </x:c>
      <x:c r="C6" s="31" t="str">
        <x:v>VND/USD</x:v>
      </x:c>
      <x:c r="D6" s="99"/>
      <x:c r="E6" s="49"/>
      <x:c r="F6" s="50"/>
      <x:c r="G6" s="50"/>
      <x:c r="H6" s="50"/>
      <x:c r="I6" s="50"/>
      <x:c r="J6" s="50"/>
      <x:c r="K6" s="50"/>
      <x:c r="L6" s="50"/>
      <x:c r="M6" s="50"/>
      <x:c r="N6" s="50"/>
      <x:c r="O6" s="50"/>
      <x:c r="P6" s="51"/>
      <x:c r="Q6" s="99"/>
    </x:row>
    <x:row r="7" ht="24" hidden="0" customHeight="1">
      <x:c r="A7" s="31" t="str">
        <x:v>Thời gian chạy</x:v>
      </x:c>
      <x:c r="B7" s="102" t="n">
        <x:v>730</x:v>
      </x:c>
      <x:c r="C7" s="31" t="str">
        <x:v>giờ/tháng</x:v>
      </x:c>
      <x:c r="D7" s="99"/>
      <x:c r="E7" s="49"/>
      <x:c r="F7" s="50"/>
      <x:c r="G7" s="50"/>
      <x:c r="H7" s="50"/>
      <x:c r="I7" s="50"/>
      <x:c r="J7" s="50"/>
      <x:c r="K7" s="50"/>
      <x:c r="L7" s="50"/>
      <x:c r="M7" s="50"/>
      <x:c r="N7" s="50"/>
      <x:c r="O7" s="50"/>
      <x:c r="P7" s="51"/>
      <x:c r="Q7" s="99"/>
    </x:row>
    <x:row r="8" ht="24" hidden="0" customHeight="1">
      <x:c r="A8" s="31" t="str">
        <x:v>Bitrate bình quân</x:v>
      </x:c>
      <x:c r="B8" s="102" t="n">
        <x:v>2</x:v>
      </x:c>
      <x:c r="C8" s="31" t="str">
        <x:v>Mbps/camera</x:v>
      </x:c>
      <x:c r="D8" s="99"/>
      <x:c r="E8" s="49"/>
      <x:c r="F8" s="50"/>
      <x:c r="G8" s="50"/>
      <x:c r="H8" s="50"/>
      <x:c r="I8" s="50"/>
      <x:c r="J8" s="50"/>
      <x:c r="K8" s="50"/>
      <x:c r="L8" s="50"/>
      <x:c r="M8" s="50"/>
      <x:c r="N8" s="50"/>
      <x:c r="O8" s="50"/>
      <x:c r="P8" s="51"/>
      <x:c r="Q8" s="99"/>
    </x:row>
    <x:row r="9" ht="36" hidden="0" customHeight="1">
      <x:c r="A9" s="31" t="str">
        <x:v>Thời gian lưu video liên tục</x:v>
      </x:c>
      <x:c r="B9" s="102" t="n">
        <x:v>30</x:v>
      </x:c>
      <x:c r="C9" s="31" t="str">
        <x:v>ngày</x:v>
      </x:c>
      <x:c r="D9" s="99"/>
      <x:c r="E9" s="52"/>
      <x:c r="F9" s="53"/>
      <x:c r="G9" s="53"/>
      <x:c r="H9" s="53"/>
      <x:c r="I9" s="53"/>
      <x:c r="J9" s="53"/>
      <x:c r="K9" s="53"/>
      <x:c r="L9" s="53"/>
      <x:c r="M9" s="53"/>
      <x:c r="N9" s="53"/>
      <x:c r="O9" s="53"/>
      <x:c r="P9" s="54"/>
      <x:c r="Q9" s="99"/>
    </x:row>
    <x:row r="10" ht="15" hidden="0" customHeight="1">
      <x:c r="A10" s="99"/>
      <x:c r="B10" s="99"/>
      <x:c r="C10" s="99"/>
      <x:c r="D10" s="99"/>
      <x:c r="E10" s="99"/>
      <x:c r="F10" s="99"/>
      <x:c r="G10" s="99"/>
      <x:c r="H10" s="99"/>
      <x:c r="I10" s="99"/>
      <x:c r="J10" s="99"/>
      <x:c r="K10" s="99"/>
      <x:c r="L10" s="99"/>
      <x:c r="M10" s="99"/>
      <x:c r="N10" s="99"/>
      <x:c r="O10" s="99"/>
      <x:c r="P10" s="99"/>
      <x:c r="Q10" s="99"/>
    </x:row>
    <x:row r="11" ht="15" hidden="0" customHeight="1">
      <x:c r="A11" s="25" t="str">
        <x:v>B. Đơn giá tham chiếu</x:v>
      </x:c>
      <x:c r="B11" s="25"/>
      <x:c r="C11" s="25"/>
      <x:c r="D11" s="25"/>
      <x:c r="E11" s="25"/>
      <x:c r="F11" s="25"/>
      <x:c r="G11" s="25"/>
      <x:c r="H11" s="25"/>
      <x:c r="I11" s="25"/>
      <x:c r="J11" s="25"/>
      <x:c r="K11" s="99"/>
      <x:c r="L11" s="99"/>
      <x:c r="M11" s="99"/>
      <x:c r="N11" s="99"/>
      <x:c r="O11" s="99"/>
      <x:c r="P11" s="99"/>
      <x:c r="Q11" s="99"/>
    </x:row>
    <x:row r="12" ht="48" hidden="0" customHeight="1">
      <x:c r="A12" s="29" t="str">
        <x:v>Nhà cung cấp</x:v>
      </x:c>
      <x:c r="B12" s="29" t="str">
        <x:v>GPU/VM tham chiếu</x:v>
      </x:c>
      <x:c r="C12" s="29" t="str">
        <x:v>GPU USD/giờ</x:v>
      </x:c>
      <x:c r="D12" s="29" t="str">
        <x:v>Vùng</x:v>
      </x:c>
      <x:c r="E12" s="29" t="str">
        <x:v>Disk bổ sung USD/tháng</x:v>
      </x:c>
      <x:c r="F12" s="29" t="str">
        <x:v>Object storage USD/GB-tháng</x:v>
      </x:c>
      <x:c r="G12" s="29" t="str">
        <x:v>GPU</x:v>
      </x:c>
      <x:c r="H12" s="29" t="str">
        <x:v>Cơ sở giá</x:v>
      </x:c>
      <x:c r="I12" s="29" t="str">
        <x:v>Nguồn</x:v>
      </x:c>
      <x:c r="J12" s="29" t="str">
        <x:v>Ghi chú</x:v>
      </x:c>
      <x:c r="K12" s="99"/>
      <x:c r="L12" s="99"/>
      <x:c r="M12" s="99"/>
      <x:c r="N12" s="99"/>
      <x:c r="O12" s="99"/>
      <x:c r="P12" s="99"/>
      <x:c r="Q12" s="99"/>
    </x:row>
    <x:row r="13" ht="36" hidden="0" customHeight="1">
      <x:c r="A13" s="31" t="str">
        <x:v>Azure</x:v>
      </x:c>
      <x:c r="B13" s="31" t="str">
        <x:v>Standard_NC4as_T4_v3</x:v>
      </x:c>
      <x:c r="C13" s="103" t="n">
        <x:v>0.74</x:v>
      </x:c>
      <x:c r="D13" s="103" t="str">
        <x:v>Southeast Asia</x:v>
      </x:c>
      <x:c r="E13" s="103" t="n">
        <x:v>19.2</x:v>
      </x:c>
      <x:c r="F13" s="103" t="n">
        <x:v>0.02</x:v>
      </x:c>
      <x:c r="G13" s="31" t="str">
        <x:v>NVIDIA T4 16GB</x:v>
      </x:c>
      <x:c r="H13" s="31" t="str">
        <x:v>Retail Prices API</x:v>
      </x:c>
      <x:c r="I13" s="31" t="str">
        <x:v>S02–S04</x:v>
      </x:c>
      <x:c r="J13" s="31" t="str">
        <x:v>Disk là E15 LRS 256GB</x:v>
      </x:c>
      <x:c r="K13" s="99"/>
      <x:c r="L13" s="99"/>
      <x:c r="M13" s="99"/>
      <x:c r="N13" s="99"/>
      <x:c r="O13" s="99"/>
      <x:c r="P13" s="99"/>
      <x:c r="Q13" s="99"/>
    </x:row>
    <x:row r="14" ht="60" hidden="0" customHeight="1">
      <x:c r="A14" s="31" t="str">
        <x:v>AWS</x:v>
      </x:c>
      <x:c r="B14" s="31" t="str">
        <x:v>g4dn.xlarge</x:v>
      </x:c>
      <x:c r="C14" s="103" t="n">
        <x:v>0.736</x:v>
      </x:c>
      <x:c r="D14" s="103" t="str">
        <x:v>Singapore</x:v>
      </x:c>
      <x:c r="E14" s="103" t="n">
        <x:v>15</x:v>
      </x:c>
      <x:c r="F14" s="103" t="n">
        <x:v>0.025</x:v>
      </x:c>
      <x:c r="G14" s="31" t="str">
        <x:v>NVIDIA T4 16GB</x:v>
      </x:c>
      <x:c r="H14" s="31" t="str">
        <x:v>AWS Price List</x:v>
      </x:c>
      <x:c r="I14" s="31" t="str">
        <x:v>S05–S07</x:v>
      </x:c>
      <x:c r="J14" s="31" t="str">
        <x:v>Disk 15 USD là allowance lập kế hoạch</x:v>
      </x:c>
      <x:c r="K14" s="99"/>
      <x:c r="L14" s="99"/>
      <x:c r="M14" s="99"/>
      <x:c r="N14" s="99"/>
      <x:c r="O14" s="99"/>
      <x:c r="P14" s="99"/>
      <x:c r="Q14" s="99"/>
    </x:row>
    <x:row r="15" ht="72" hidden="0" customHeight="1">
      <x:c r="A15" s="31" t="str">
        <x:v>GCP</x:v>
      </x:c>
      <x:c r="B15" s="31" t="str">
        <x:v>g2-standard-4</x:v>
      </x:c>
      <x:c r="C15" s="103" t="n">
        <x:v>0.708205</x:v>
      </x:c>
      <x:c r="D15" s="103" t="str">
        <x:v>Singapore</x:v>
      </x:c>
      <x:c r="E15" s="103" t="n">
        <x:v>15</x:v>
      </x:c>
      <x:c r="F15" s="103" t="n">
        <x:v>0.023</x:v>
      </x:c>
      <x:c r="G15" s="31" t="str">
        <x:v>NVIDIA L4 24GB</x:v>
      </x:c>
      <x:c r="H15" s="31" t="str">
        <x:v>516.99 USD/tháng / 730h</x:v>
      </x:c>
      <x:c r="I15" s="31" t="str">
        <x:v>S08–S10</x:v>
      </x:c>
      <x:c r="J15" s="31" t="str">
        <x:v>Giá calculator gồm VM + 1 L4 + boot disk 10GB</x:v>
      </x:c>
      <x:c r="K15" s="99"/>
      <x:c r="L15" s="99"/>
      <x:c r="M15" s="99"/>
      <x:c r="N15" s="99"/>
      <x:c r="O15" s="99"/>
      <x:c r="P15" s="99"/>
      <x:c r="Q15" s="99"/>
    </x:row>
    <x:row r="16" ht="15" hidden="0" customHeight="1">
      <x:c r="A16" s="99"/>
      <x:c r="B16" s="99"/>
      <x:c r="C16" s="99"/>
      <x:c r="D16" s="99"/>
      <x:c r="E16" s="99"/>
      <x:c r="F16" s="99"/>
      <x:c r="G16" s="99"/>
      <x:c r="H16" s="99"/>
      <x:c r="I16" s="99"/>
      <x:c r="J16" s="99"/>
      <x:c r="K16" s="99"/>
      <x:c r="L16" s="99"/>
      <x:c r="M16" s="99"/>
      <x:c r="N16" s="99"/>
      <x:c r="O16" s="99"/>
      <x:c r="P16" s="99"/>
      <x:c r="Q16" s="99"/>
    </x:row>
    <x:row r="17" ht="15" hidden="0" customHeight="1">
      <x:c r="A17" s="25" t="str">
        <x:v>C. Kịch bản ước tính (công thức có thể kiểm tra/chỉnh sửa)</x:v>
      </x:c>
      <x:c r="B17" s="25"/>
      <x:c r="C17" s="25"/>
      <x:c r="D17" s="25"/>
      <x:c r="E17" s="25"/>
      <x:c r="F17" s="25"/>
      <x:c r="G17" s="25"/>
      <x:c r="H17" s="25"/>
      <x:c r="I17" s="25"/>
      <x:c r="J17" s="25"/>
      <x:c r="K17" s="25"/>
      <x:c r="L17" s="25"/>
      <x:c r="M17" s="25"/>
      <x:c r="N17" s="25"/>
      <x:c r="O17" s="25"/>
      <x:c r="P17" s="25"/>
      <x:c r="Q17" s="99"/>
    </x:row>
    <x:row r="18" ht="60" hidden="0" customHeight="1">
      <x:c r="A18" s="29" t="str">
        <x:v>Cloud</x:v>
      </x:c>
      <x:c r="B18" s="29" t="str">
        <x:v>Camera</x:v>
      </x:c>
      <x:c r="C18" s="29" t="str">
        <x:v>GPU nodes</x:v>
      </x:c>
      <x:c r="D18" s="29" t="str">
        <x:v>Lưu sự kiện (GB)</x:v>
      </x:c>
      <x:c r="E18" s="29" t="str">
        <x:v>Ops/network USD</x:v>
      </x:c>
      <x:c r="F18" s="29" t="str">
        <x:v>Compute USD</x:v>
      </x:c>
      <x:c r="G18" s="29" t="str">
        <x:v>Disk USD</x:v>
      </x:c>
      <x:c r="H18" s="29" t="str">
        <x:v>Event storage USD</x:v>
      </x:c>
      <x:c r="I18" s="29" t="str">
        <x:v>Video liên tục (GB)</x:v>
      </x:c>
      <x:c r="J18" s="29" t="str">
        <x:v>Continuous storage USD</x:v>
      </x:c>
      <x:c r="K18" s="29" t="str">
        <x:v>Tổng event USD/tháng</x:v>
      </x:c>
      <x:c r="L18" s="29" t="str">
        <x:v>Tổng continuous USD/tháng</x:v>
      </x:c>
      <x:c r="M18" s="29" t="str">
        <x:v>Event VND/tháng</x:v>
      </x:c>
      <x:c r="N18" s="29" t="str">
        <x:v>Continuous VND/tháng</x:v>
      </x:c>
      <x:c r="O18" s="29" t="str">
        <x:v>Event VND/3 tháng</x:v>
      </x:c>
      <x:c r="P18" s="29" t="str">
        <x:v>Continuous VND/năm</x:v>
      </x:c>
      <x:c r="Q18" s="99"/>
    </x:row>
    <x:row r="19" ht="15" hidden="0" customHeight="1">
      <x:c r="A19" s="104" t="str">
        <x:v>Azure</x:v>
      </x:c>
      <x:c r="B19" s="105" t="n">
        <x:v>8</x:v>
      </x:c>
      <x:c r="C19" s="105" t="n">
        <x:v>1</x:v>
      </x:c>
      <x:c r="D19" s="105" t="n">
        <x:v>500</x:v>
      </x:c>
      <x:c r="E19" s="106" t="n">
        <x:v>60</x:v>
      </x:c>
      <x:c r="F19" s="107" t="n">
        <x:f>$B$7*C19*$C$13</x:f>
        <x:v>540.2</x:v>
      </x:c>
      <x:c r="G19" s="107" t="n">
        <x:f>C19*$E$13</x:f>
        <x:v>19.2</x:v>
      </x:c>
      <x:c r="H19" s="107" t="n">
        <x:f>D19*$F$13</x:f>
        <x:v>10</x:v>
      </x:c>
      <x:c r="I19" s="108" t="n">
        <x:f>B19*$B$8*10.8*$B$9</x:f>
        <x:v>5184</x:v>
      </x:c>
      <x:c r="J19" s="107" t="n">
        <x:f>I19*$F$13</x:f>
        <x:v>103.68</x:v>
      </x:c>
      <x:c r="K19" s="107" t="n">
        <x:f>F19+G19+H19+E19</x:f>
        <x:v>629.4000000000001</x:v>
      </x:c>
      <x:c r="L19" s="107" t="n">
        <x:f>F19+G19+J19+E19</x:f>
        <x:v>723.0800000000002</x:v>
      </x:c>
      <x:c r="M19" s="109" t="n">
        <x:f>K19*$B$6</x:f>
        <x:v>16679100.000000002</x:v>
      </x:c>
      <x:c r="N19" s="109" t="n">
        <x:f>L19*$B$6</x:f>
        <x:v>19161620.000000004</x:v>
      </x:c>
      <x:c r="O19" s="109" t="n">
        <x:f>M19*3</x:f>
        <x:v>50037300.00000001</x:v>
      </x:c>
      <x:c r="P19" s="109" t="n">
        <x:f>N19*12</x:f>
        <x:v>229939440.00000006</x:v>
      </x:c>
      <x:c r="Q19" s="99"/>
    </x:row>
    <x:row r="20" ht="15" hidden="0" customHeight="1">
      <x:c r="A20" s="104" t="str">
        <x:v>AWS</x:v>
      </x:c>
      <x:c r="B20" s="105" t="n">
        <x:v>8</x:v>
      </x:c>
      <x:c r="C20" s="105" t="n">
        <x:v>1</x:v>
      </x:c>
      <x:c r="D20" s="105" t="n">
        <x:v>500</x:v>
      </x:c>
      <x:c r="E20" s="106" t="n">
        <x:v>60</x:v>
      </x:c>
      <x:c r="F20" s="107" t="n">
        <x:f>$B$7*C20*$C$14</x:f>
        <x:v>537.28</x:v>
      </x:c>
      <x:c r="G20" s="107" t="n">
        <x:f>C20*$E$14</x:f>
        <x:v>15</x:v>
      </x:c>
      <x:c r="H20" s="107" t="n">
        <x:f>D20*$F$14</x:f>
        <x:v>12.5</x:v>
      </x:c>
      <x:c r="I20" s="108" t="n">
        <x:f>B20*$B$8*10.8*$B$9</x:f>
        <x:v>5184</x:v>
      </x:c>
      <x:c r="J20" s="107" t="n">
        <x:f>I20*$F$14</x:f>
        <x:v>129.6</x:v>
      </x:c>
      <x:c r="K20" s="107" t="n">
        <x:f>F20+G20+H20+E20</x:f>
        <x:v>624.78</x:v>
      </x:c>
      <x:c r="L20" s="107" t="n">
        <x:f>F20+G20+J20+E20</x:f>
        <x:v>741.88</x:v>
      </x:c>
      <x:c r="M20" s="109" t="n">
        <x:f>K20*$B$6</x:f>
        <x:v>16556670</x:v>
      </x:c>
      <x:c r="N20" s="109" t="n">
        <x:f>L20*$B$6</x:f>
        <x:v>19659820</x:v>
      </x:c>
      <x:c r="O20" s="109" t="n">
        <x:f>M20*3</x:f>
        <x:v>49670010</x:v>
      </x:c>
      <x:c r="P20" s="109" t="n">
        <x:f>N20*12</x:f>
        <x:v>235917840</x:v>
      </x:c>
      <x:c r="Q20" s="99"/>
    </x:row>
    <x:row r="21" ht="15" hidden="0" customHeight="1">
      <x:c r="A21" s="104" t="str">
        <x:v>GCP</x:v>
      </x:c>
      <x:c r="B21" s="105" t="n">
        <x:v>8</x:v>
      </x:c>
      <x:c r="C21" s="105" t="n">
        <x:v>1</x:v>
      </x:c>
      <x:c r="D21" s="105" t="n">
        <x:v>500</x:v>
      </x:c>
      <x:c r="E21" s="106" t="n">
        <x:v>60</x:v>
      </x:c>
      <x:c r="F21" s="107" t="n">
        <x:f>$B$7*C21*$C$15</x:f>
        <x:v>516.98965</x:v>
      </x:c>
      <x:c r="G21" s="107" t="n">
        <x:f>C21*$E$15</x:f>
        <x:v>15</x:v>
      </x:c>
      <x:c r="H21" s="107" t="n">
        <x:f>D21*$F$15</x:f>
        <x:v>11.5</x:v>
      </x:c>
      <x:c r="I21" s="108" t="n">
        <x:f>B21*$B$8*10.8*$B$9</x:f>
        <x:v>5184</x:v>
      </x:c>
      <x:c r="J21" s="107" t="n">
        <x:f>I21*$F$15</x:f>
        <x:v>119.232</x:v>
      </x:c>
      <x:c r="K21" s="107" t="n">
        <x:f>F21+G21+H21+E21</x:f>
        <x:v>603.48965</x:v>
      </x:c>
      <x:c r="L21" s="107" t="n">
        <x:f>F21+G21+J21+E21</x:f>
        <x:v>711.22165</x:v>
      </x:c>
      <x:c r="M21" s="109" t="n">
        <x:f>K21*$B$6</x:f>
        <x:v>15992475.725</x:v>
      </x:c>
      <x:c r="N21" s="109" t="n">
        <x:f>L21*$B$6</x:f>
        <x:v>18847373.724999998</x:v>
      </x:c>
      <x:c r="O21" s="109" t="n">
        <x:f>M21*3</x:f>
        <x:v>47977427.175</x:v>
      </x:c>
      <x:c r="P21" s="109" t="n">
        <x:f>N21*12</x:f>
        <x:v>226168484.7</x:v>
      </x:c>
      <x:c r="Q21" s="99"/>
    </x:row>
    <x:row r="22" ht="15" hidden="0" customHeight="1">
      <x:c r="A22" s="110" t="str">
        <x:v>Azure</x:v>
      </x:c>
      <x:c r="B22" s="111" t="n">
        <x:v>20</x:v>
      </x:c>
      <x:c r="C22" s="111" t="n">
        <x:v>2</x:v>
      </x:c>
      <x:c r="D22" s="111" t="n">
        <x:v>1000</x:v>
      </x:c>
      <x:c r="E22" s="112" t="n">
        <x:v>100</x:v>
      </x:c>
      <x:c r="F22" s="113" t="n">
        <x:f>$B$7*C22*$C$13</x:f>
        <x:v>1080.4</x:v>
      </x:c>
      <x:c r="G22" s="113" t="n">
        <x:f>C22*$E$13</x:f>
        <x:v>38.4</x:v>
      </x:c>
      <x:c r="H22" s="113" t="n">
        <x:f>D22*$F$13</x:f>
        <x:v>20</x:v>
      </x:c>
      <x:c r="I22" s="114" t="n">
        <x:f>B22*$B$8*10.8*$B$9</x:f>
        <x:v>12960</x:v>
      </x:c>
      <x:c r="J22" s="113" t="n">
        <x:f>I22*$F$13</x:f>
        <x:v>259.2</x:v>
      </x:c>
      <x:c r="K22" s="113" t="n">
        <x:f>F22+G22+H22+E22</x:f>
        <x:v>1238.8000000000002</x:v>
      </x:c>
      <x:c r="L22" s="113" t="n">
        <x:f>F22+G22+J22+E22</x:f>
        <x:v>1478.0000000000002</x:v>
      </x:c>
      <x:c r="M22" s="115" t="n">
        <x:f>K22*$B$6</x:f>
        <x:v>32828200.000000004</x:v>
      </x:c>
      <x:c r="N22" s="115" t="n">
        <x:f>L22*$B$6</x:f>
        <x:v>39167000.00000001</x:v>
      </x:c>
      <x:c r="O22" s="115" t="n">
        <x:f>M22*3</x:f>
        <x:v>98484600.00000001</x:v>
      </x:c>
      <x:c r="P22" s="115" t="n">
        <x:f>N22*12</x:f>
        <x:v>470004000.0000001</x:v>
      </x:c>
      <x:c r="Q22" s="99"/>
    </x:row>
    <x:row r="23" ht="15" hidden="0" customHeight="1">
      <x:c r="A23" s="110" t="str">
        <x:v>AWS</x:v>
      </x:c>
      <x:c r="B23" s="111" t="n">
        <x:v>20</x:v>
      </x:c>
      <x:c r="C23" s="111" t="n">
        <x:v>2</x:v>
      </x:c>
      <x:c r="D23" s="111" t="n">
        <x:v>1000</x:v>
      </x:c>
      <x:c r="E23" s="112" t="n">
        <x:v>100</x:v>
      </x:c>
      <x:c r="F23" s="113" t="n">
        <x:f>$B$7*C23*$C$14</x:f>
        <x:v>1074.56</x:v>
      </x:c>
      <x:c r="G23" s="113" t="n">
        <x:f>C23*$E$14</x:f>
        <x:v>30</x:v>
      </x:c>
      <x:c r="H23" s="113" t="n">
        <x:f>D23*$F$14</x:f>
        <x:v>25</x:v>
      </x:c>
      <x:c r="I23" s="114" t="n">
        <x:f>B23*$B$8*10.8*$B$9</x:f>
        <x:v>12960</x:v>
      </x:c>
      <x:c r="J23" s="113" t="n">
        <x:f>I23*$F$14</x:f>
        <x:v>324</x:v>
      </x:c>
      <x:c r="K23" s="113" t="n">
        <x:f>F23+G23+H23+E23</x:f>
        <x:v>1229.56</x:v>
      </x:c>
      <x:c r="L23" s="113" t="n">
        <x:f>F23+G23+J23+E23</x:f>
        <x:v>1528.56</x:v>
      </x:c>
      <x:c r="M23" s="115" t="n">
        <x:f>K23*$B$6</x:f>
        <x:v>32583340</x:v>
      </x:c>
      <x:c r="N23" s="115" t="n">
        <x:f>L23*$B$6</x:f>
        <x:v>40506840</x:v>
      </x:c>
      <x:c r="O23" s="115" t="n">
        <x:f>M23*3</x:f>
        <x:v>97750020</x:v>
      </x:c>
      <x:c r="P23" s="115" t="n">
        <x:f>N23*12</x:f>
        <x:v>486082080</x:v>
      </x:c>
      <x:c r="Q23" s="99"/>
    </x:row>
    <x:row r="24" ht="15" hidden="0" customHeight="1">
      <x:c r="A24" s="110" t="str">
        <x:v>GCP</x:v>
      </x:c>
      <x:c r="B24" s="111" t="n">
        <x:v>20</x:v>
      </x:c>
      <x:c r="C24" s="111" t="n">
        <x:v>2</x:v>
      </x:c>
      <x:c r="D24" s="111" t="n">
        <x:v>1000</x:v>
      </x:c>
      <x:c r="E24" s="112" t="n">
        <x:v>100</x:v>
      </x:c>
      <x:c r="F24" s="113" t="n">
        <x:f>$B$7*C24*$C$15</x:f>
        <x:v>1033.9793</x:v>
      </x:c>
      <x:c r="G24" s="113" t="n">
        <x:f>C24*$E$15</x:f>
        <x:v>30</x:v>
      </x:c>
      <x:c r="H24" s="113" t="n">
        <x:f>D24*$F$15</x:f>
        <x:v>23</x:v>
      </x:c>
      <x:c r="I24" s="114" t="n">
        <x:f>B24*$B$8*10.8*$B$9</x:f>
        <x:v>12960</x:v>
      </x:c>
      <x:c r="J24" s="113" t="n">
        <x:f>I24*$F$15</x:f>
        <x:v>298.08</x:v>
      </x:c>
      <x:c r="K24" s="113" t="n">
        <x:f>F24+G24+H24+E24</x:f>
        <x:v>1186.9793</x:v>
      </x:c>
      <x:c r="L24" s="113" t="n">
        <x:f>F24+G24+J24+E24</x:f>
        <x:v>1462.0593</x:v>
      </x:c>
      <x:c r="M24" s="115" t="n">
        <x:f>K24*$B$6</x:f>
        <x:v>31454951.45</x:v>
      </x:c>
      <x:c r="N24" s="115" t="n">
        <x:f>L24*$B$6</x:f>
        <x:v>38744571.449999996</x:v>
      </x:c>
      <x:c r="O24" s="115" t="n">
        <x:f>M24*3</x:f>
        <x:v>94364854.35</x:v>
      </x:c>
      <x:c r="P24" s="115" t="n">
        <x:f>N24*12</x:f>
        <x:v>464934857.4</x:v>
      </x:c>
      <x:c r="Q24" s="99"/>
    </x:row>
    <x:row r="25" ht="15" hidden="0" customHeight="1">
      <x:c r="A25" s="104" t="str">
        <x:v>Azure</x:v>
      </x:c>
      <x:c r="B25" s="105" t="n">
        <x:v>50</x:v>
      </x:c>
      <x:c r="C25" s="105" t="n">
        <x:v>4</x:v>
      </x:c>
      <x:c r="D25" s="105" t="n">
        <x:v>2000</x:v>
      </x:c>
      <x:c r="E25" s="106" t="n">
        <x:v>200</x:v>
      </x:c>
      <x:c r="F25" s="107" t="n">
        <x:f>$B$7*C25*$C$13</x:f>
        <x:v>2160.8</x:v>
      </x:c>
      <x:c r="G25" s="107" t="n">
        <x:f>C25*$E$13</x:f>
        <x:v>76.8</x:v>
      </x:c>
      <x:c r="H25" s="107" t="n">
        <x:f>D25*$F$13</x:f>
        <x:v>40</x:v>
      </x:c>
      <x:c r="I25" s="108" t="n">
        <x:f>B25*$B$8*10.8*$B$9</x:f>
        <x:v>32400</x:v>
      </x:c>
      <x:c r="J25" s="107" t="n">
        <x:f>I25*$F$13</x:f>
        <x:v>648</x:v>
      </x:c>
      <x:c r="K25" s="107" t="n">
        <x:f>F25+G25+H25+E25</x:f>
        <x:v>2477.6000000000004</x:v>
      </x:c>
      <x:c r="L25" s="107" t="n">
        <x:f>F25+G25+J25+E25</x:f>
        <x:v>3085.6000000000004</x:v>
      </x:c>
      <x:c r="M25" s="109" t="n">
        <x:f>K25*$B$6</x:f>
        <x:v>65656400.00000001</x:v>
      </x:c>
      <x:c r="N25" s="109" t="n">
        <x:f>L25*$B$6</x:f>
        <x:v>81768400.00000001</x:v>
      </x:c>
      <x:c r="O25" s="109" t="n">
        <x:f>M25*3</x:f>
        <x:v>196969200.00000003</x:v>
      </x:c>
      <x:c r="P25" s="109" t="n">
        <x:f>N25*12</x:f>
        <x:v>981220800.0000002</x:v>
      </x:c>
      <x:c r="Q25" s="99"/>
    </x:row>
    <x:row r="26" ht="15" hidden="0" customHeight="1">
      <x:c r="A26" s="104" t="str">
        <x:v>AWS</x:v>
      </x:c>
      <x:c r="B26" s="105" t="n">
        <x:v>50</x:v>
      </x:c>
      <x:c r="C26" s="105" t="n">
        <x:v>4</x:v>
      </x:c>
      <x:c r="D26" s="105" t="n">
        <x:v>2000</x:v>
      </x:c>
      <x:c r="E26" s="106" t="n">
        <x:v>200</x:v>
      </x:c>
      <x:c r="F26" s="107" t="n">
        <x:f>$B$7*C26*$C$14</x:f>
        <x:v>2149.12</x:v>
      </x:c>
      <x:c r="G26" s="107" t="n">
        <x:f>C26*$E$14</x:f>
        <x:v>60</x:v>
      </x:c>
      <x:c r="H26" s="107" t="n">
        <x:f>D26*$F$14</x:f>
        <x:v>50</x:v>
      </x:c>
      <x:c r="I26" s="108" t="n">
        <x:f>B26*$B$8*10.8*$B$9</x:f>
        <x:v>32400</x:v>
      </x:c>
      <x:c r="J26" s="107" t="n">
        <x:f>I26*$F$14</x:f>
        <x:v>810</x:v>
      </x:c>
      <x:c r="K26" s="107" t="n">
        <x:f>F26+G26+H26+E26</x:f>
        <x:v>2459.12</x:v>
      </x:c>
      <x:c r="L26" s="107" t="n">
        <x:f>F26+G26+J26+E26</x:f>
        <x:v>3219.12</x:v>
      </x:c>
      <x:c r="M26" s="109" t="n">
        <x:f>K26*$B$6</x:f>
        <x:v>65166680</x:v>
      </x:c>
      <x:c r="N26" s="109" t="n">
        <x:f>L26*$B$6</x:f>
        <x:v>85306680</x:v>
      </x:c>
      <x:c r="O26" s="109" t="n">
        <x:f>M26*3</x:f>
        <x:v>195500040</x:v>
      </x:c>
      <x:c r="P26" s="109" t="n">
        <x:f>N26*12</x:f>
        <x:v>1023680160</x:v>
      </x:c>
      <x:c r="Q26" s="99"/>
    </x:row>
    <x:row r="27" ht="15" hidden="0" customHeight="1">
      <x:c r="A27" s="104" t="str">
        <x:v>GCP</x:v>
      </x:c>
      <x:c r="B27" s="105" t="n">
        <x:v>50</x:v>
      </x:c>
      <x:c r="C27" s="105" t="n">
        <x:v>4</x:v>
      </x:c>
      <x:c r="D27" s="105" t="n">
        <x:v>2000</x:v>
      </x:c>
      <x:c r="E27" s="106" t="n">
        <x:v>200</x:v>
      </x:c>
      <x:c r="F27" s="107" t="n">
        <x:f>$B$7*C27*$C$15</x:f>
        <x:v>2067.9586</x:v>
      </x:c>
      <x:c r="G27" s="107" t="n">
        <x:f>C27*$E$15</x:f>
        <x:v>60</x:v>
      </x:c>
      <x:c r="H27" s="107" t="n">
        <x:f>D27*$F$15</x:f>
        <x:v>46</x:v>
      </x:c>
      <x:c r="I27" s="108" t="n">
        <x:f>B27*$B$8*10.8*$B$9</x:f>
        <x:v>32400</x:v>
      </x:c>
      <x:c r="J27" s="107" t="n">
        <x:f>I27*$F$15</x:f>
        <x:v>745.1999999999999</x:v>
      </x:c>
      <x:c r="K27" s="107" t="n">
        <x:f>F27+G27+H27+E27</x:f>
        <x:v>2373.9586</x:v>
      </x:c>
      <x:c r="L27" s="107" t="n">
        <x:f>F27+G27+J27+E27</x:f>
        <x:v>3073.1585999999998</x:v>
      </x:c>
      <x:c r="M27" s="109" t="n">
        <x:f>K27*$B$6</x:f>
        <x:v>62909902.9</x:v>
      </x:c>
      <x:c r="N27" s="109" t="n">
        <x:f>L27*$B$6</x:f>
        <x:v>81438702.89999999</x:v>
      </x:c>
      <x:c r="O27" s="109" t="n">
        <x:f>M27*3</x:f>
        <x:v>188729708.7</x:v>
      </x:c>
      <x:c r="P27" s="109" t="n">
        <x:f>N27*12</x:f>
        <x:v>977264434.8</x:v>
      </x:c>
      <x:c r="Q27" s="99"/>
    </x:row>
    <x:row r="28" ht="15" hidden="0" customHeight="1">
      <x:c r="A28" s="99"/>
      <x:c r="B28" s="99"/>
      <x:c r="C28" s="99"/>
      <x:c r="D28" s="99"/>
      <x:c r="E28" s="99"/>
      <x:c r="F28" s="99"/>
      <x:c r="G28" s="99"/>
      <x:c r="H28" s="99"/>
      <x:c r="I28" s="99"/>
      <x:c r="J28" s="99"/>
      <x:c r="K28" s="99"/>
      <x:c r="L28" s="99"/>
      <x:c r="M28" s="99"/>
      <x:c r="N28" s="99"/>
      <x:c r="O28" s="99"/>
      <x:c r="P28" s="99"/>
      <x:c r="Q28" s="99"/>
    </x:row>
    <x:row r="29" ht="15" hidden="0" customHeight="1">
      <x:c r="A29" s="25" t="str">
        <x:v>D. Thành phần chưa tính / cần báo giá khi triển khai thật</x:v>
      </x:c>
      <x:c r="B29" s="25"/>
      <x:c r="C29" s="25"/>
      <x:c r="D29" s="25"/>
      <x:c r="E29" s="25"/>
      <x:c r="F29" s="25"/>
      <x:c r="G29" s="25"/>
      <x:c r="H29" s="25"/>
      <x:c r="I29" s="25"/>
      <x:c r="J29" s="25"/>
      <x:c r="K29" s="25"/>
      <x:c r="L29" s="25"/>
      <x:c r="M29" s="25"/>
      <x:c r="N29" s="25"/>
      <x:c r="O29" s="25"/>
      <x:c r="P29" s="25"/>
      <x:c r="Q29" s="99"/>
    </x:row>
    <x:row r="30" ht="24" hidden="0" customHeight="1">
      <x:c r="A30" s="29" t="str">
        <x:v>Hạng mục</x:v>
      </x:c>
      <x:c r="B30" s="29" t="str">
        <x:v>Giải thích</x:v>
      </x:c>
      <x:c r="C30" s="29"/>
      <x:c r="D30" s="29"/>
      <x:c r="E30" s="29"/>
      <x:c r="F30" s="29"/>
      <x:c r="G30" s="29"/>
      <x:c r="H30" s="29"/>
      <x:c r="I30" s="29" t="str">
        <x:v>Ảnh hưởng</x:v>
      </x:c>
      <x:c r="J30" s="29"/>
      <x:c r="K30" s="29"/>
      <x:c r="L30" s="29"/>
      <x:c r="M30" s="29"/>
      <x:c r="N30" s="29"/>
      <x:c r="O30" s="29"/>
      <x:c r="P30" s="29"/>
      <x:c r="Q30" s="99"/>
    </x:row>
    <x:row r="31" ht="60" hidden="0" customHeight="1">
      <x:c r="A31" s="31" t="str">
        <x:v>Thuế, chiết khấu, cam kết sử dụng</x:v>
      </x:c>
      <x:c r="B31" s="31" t="str">
        <x:v>Giá công khai chưa phản ánh hợp đồng doanh nghiệp, reserved/committed use hoặc thuế.</x:v>
      </x:c>
      <x:c r="C31" s="31"/>
      <x:c r="D31" s="31"/>
      <x:c r="E31" s="31"/>
      <x:c r="F31" s="31"/>
      <x:c r="G31" s="31"/>
      <x:c r="H31" s="31"/>
      <x:c r="I31" s="31" t="str">
        <x:v>Có thể làm giá thực tế tăng/giảm đáng kể</x:v>
      </x:c>
      <x:c r="J31" s="31"/>
      <x:c r="K31" s="31"/>
      <x:c r="L31" s="31"/>
      <x:c r="M31" s="31"/>
      <x:c r="N31" s="31"/>
      <x:c r="O31" s="31"/>
      <x:c r="P31" s="31"/>
      <x:c r="Q31" s="99"/>
    </x:row>
    <x:row r="32" ht="24" hidden="0" customHeight="1">
      <x:c r="A32" s="31" t="str">
        <x:v>Egress và giao dịch</x:v>
      </x:c>
      <x:c r="B32" s="31" t="str">
        <x:v>Phụ thuộc cách xem video, tải clip, API request và luồng dữ liệu giữa vùng/mạng.</x:v>
      </x:c>
      <x:c r="C32" s="31"/>
      <x:c r="D32" s="31"/>
      <x:c r="E32" s="31"/>
      <x:c r="F32" s="31"/>
      <x:c r="G32" s="31"/>
      <x:c r="H32" s="31"/>
      <x:c r="I32" s="31" t="str">
        <x:v>Phải đo từ kiến trúc và lưu lượng thật</x:v>
      </x:c>
      <x:c r="J32" s="31"/>
      <x:c r="K32" s="31"/>
      <x:c r="L32" s="31"/>
      <x:c r="M32" s="31"/>
      <x:c r="N32" s="31"/>
      <x:c r="O32" s="31"/>
      <x:c r="P32" s="31"/>
      <x:c r="Q32" s="99"/>
    </x:row>
    <x:row r="33" ht="36" hidden="0" customHeight="1">
      <x:c r="A33" s="31" t="str">
        <x:v>Nhân sự và tích hợp</x:v>
      </x:c>
      <x:c r="B33" s="31" t="str">
        <x:v>Thu thập/gắn nhãn dữ liệu, phát triển, MLOps, hỗ trợ, bảo trì và tích hợp VMS/NVR.</x:v>
      </x:c>
      <x:c r="C33" s="31"/>
      <x:c r="D33" s="31"/>
      <x:c r="E33" s="31"/>
      <x:c r="F33" s="31"/>
      <x:c r="G33" s="31"/>
      <x:c r="H33" s="31"/>
      <x:c r="I33" s="31" t="str">
        <x:v>Thường lớn hơn chênh lệch đơn giá cloud</x:v>
      </x:c>
      <x:c r="J33" s="31"/>
      <x:c r="K33" s="31"/>
      <x:c r="L33" s="31"/>
      <x:c r="M33" s="31"/>
      <x:c r="N33" s="31"/>
      <x:c r="O33" s="31"/>
      <x:c r="P33" s="31"/>
      <x:c r="Q33" s="99"/>
    </x:row>
    <x:row r="34">
      <x:c r="A34" s="99"/>
      <x:c r="B34" s="99"/>
      <x:c r="C34" s="99"/>
      <x:c r="D34" s="99"/>
      <x:c r="E34" s="99"/>
      <x:c r="F34" s="99"/>
      <x:c r="G34" s="99"/>
      <x:c r="H34" s="99"/>
      <x:c r="I34" s="99"/>
      <x:c r="J34" s="99"/>
      <x:c r="K34" s="99"/>
      <x:c r="L34" s="99"/>
      <x:c r="M34" s="99"/>
      <x:c r="N34" s="99"/>
      <x:c r="O34" s="99"/>
      <x:c r="P34" s="99"/>
      <x:c r="Q34" s="99"/>
    </x:row>
    <x:row r="35">
      <x:c r="A35" s="99"/>
      <x:c r="B35" s="99"/>
      <x:c r="C35" s="99"/>
      <x:c r="D35" s="99"/>
      <x:c r="E35" s="99"/>
      <x:c r="F35" s="99"/>
      <x:c r="G35" s="99"/>
      <x:c r="H35" s="99"/>
      <x:c r="I35" s="99"/>
      <x:c r="J35" s="99"/>
      <x:c r="K35" s="99"/>
      <x:c r="L35" s="99"/>
      <x:c r="M35" s="99"/>
      <x:c r="N35" s="99"/>
      <x:c r="O35" s="99"/>
      <x:c r="P35" s="99"/>
      <x:c r="Q35" s="99"/>
    </x:row>
    <x:row r="36">
      <x:c r="A36" s="99"/>
      <x:c r="B36" s="99"/>
      <x:c r="C36" s="99"/>
      <x:c r="D36" s="99"/>
      <x:c r="E36" s="99"/>
      <x:c r="F36" s="99"/>
      <x:c r="G36" s="99"/>
      <x:c r="H36" s="99"/>
      <x:c r="I36" s="99"/>
      <x:c r="J36" s="99"/>
      <x:c r="K36" s="99"/>
      <x:c r="L36" s="99"/>
      <x:c r="M36" s="99"/>
      <x:c r="N36" s="99"/>
      <x:c r="O36" s="99"/>
      <x:c r="P36" s="99"/>
      <x:c r="Q36" s="99"/>
    </x:row>
    <x:row r="37">
      <x:c r="A37" s="99"/>
      <x:c r="B37" s="99"/>
      <x:c r="C37" s="99"/>
      <x:c r="D37" s="99"/>
      <x:c r="E37" s="99"/>
      <x:c r="F37" s="99"/>
      <x:c r="G37" s="99"/>
      <x:c r="H37" s="99"/>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row r="61">
      <x:c r="A61" s="99"/>
      <x:c r="B61" s="99"/>
      <x:c r="C61" s="99"/>
      <x:c r="D61" s="99"/>
      <x:c r="E61" s="99"/>
      <x:c r="F61" s="99"/>
      <x:c r="G61" s="99"/>
      <x:c r="H61" s="99"/>
      <x:c r="I61" s="99"/>
      <x:c r="J61" s="99"/>
      <x:c r="K61" s="99"/>
      <x:c r="L61" s="99"/>
      <x:c r="M61" s="99"/>
      <x:c r="N61" s="99"/>
      <x:c r="O61" s="99"/>
      <x:c r="P61" s="99"/>
      <x:c r="Q61" s="99"/>
    </x:row>
    <x:row r="62">
      <x:c r="A62" s="99"/>
      <x:c r="B62" s="99"/>
      <x:c r="C62" s="99"/>
      <x:c r="D62" s="99"/>
      <x:c r="E62" s="99"/>
      <x:c r="F62" s="99"/>
      <x:c r="G62" s="99"/>
      <x:c r="H62" s="99"/>
      <x:c r="I62" s="99"/>
      <x:c r="J62" s="99"/>
      <x:c r="K62" s="99"/>
      <x:c r="L62" s="99"/>
      <x:c r="M62" s="99"/>
      <x:c r="N62" s="99"/>
      <x:c r="O62" s="99"/>
      <x:c r="P62" s="99"/>
      <x:c r="Q62" s="99"/>
    </x:row>
    <x:row r="63">
      <x:c r="A63" s="99"/>
      <x:c r="B63" s="99"/>
      <x:c r="C63" s="99"/>
      <x:c r="D63" s="99"/>
      <x:c r="E63" s="99"/>
      <x:c r="F63" s="99"/>
      <x:c r="G63" s="99"/>
      <x:c r="H63" s="99"/>
      <x:c r="I63" s="99"/>
      <x:c r="J63" s="99"/>
      <x:c r="K63" s="99"/>
      <x:c r="L63" s="99"/>
      <x:c r="M63" s="99"/>
      <x:c r="N63" s="99"/>
      <x:c r="O63" s="99"/>
      <x:c r="P63" s="99"/>
      <x:c r="Q63" s="99"/>
    </x:row>
    <x:row r="64">
      <x:c r="A64" s="99"/>
      <x:c r="B64" s="99"/>
      <x:c r="C64" s="99"/>
      <x:c r="D64" s="99"/>
      <x:c r="E64" s="99"/>
      <x:c r="F64" s="99"/>
      <x:c r="G64" s="99"/>
      <x:c r="H64" s="99"/>
      <x:c r="I64" s="99"/>
      <x:c r="J64" s="99"/>
      <x:c r="K64" s="99"/>
      <x:c r="L64" s="99"/>
      <x:c r="M64" s="99"/>
      <x:c r="N64" s="99"/>
      <x:c r="O64" s="99"/>
      <x:c r="P64" s="99"/>
      <x:c r="Q64" s="99"/>
    </x:row>
    <x:row r="65">
      <x:c r="A65" s="99"/>
      <x:c r="B65" s="99"/>
      <x:c r="C65" s="99"/>
      <x:c r="D65" s="99"/>
      <x:c r="E65" s="99"/>
      <x:c r="F65" s="99"/>
      <x:c r="G65" s="99"/>
      <x:c r="H65" s="99"/>
      <x:c r="I65" s="99"/>
      <x:c r="J65" s="99"/>
      <x:c r="K65" s="99"/>
      <x:c r="L65" s="99"/>
      <x:c r="M65" s="99"/>
      <x:c r="N65" s="99"/>
      <x:c r="O65" s="99"/>
      <x:c r="P65" s="99"/>
      <x:c r="Q65" s="99"/>
    </x:row>
    <x:row r="66">
      <x:c r="A66" s="99"/>
      <x:c r="B66" s="99"/>
      <x:c r="C66" s="99"/>
      <x:c r="D66" s="99"/>
      <x:c r="E66" s="99"/>
      <x:c r="F66" s="99"/>
      <x:c r="G66" s="99"/>
      <x:c r="H66" s="99"/>
      <x:c r="I66" s="99"/>
      <x:c r="J66" s="99"/>
      <x:c r="K66" s="99"/>
      <x:c r="L66" s="99"/>
      <x:c r="M66" s="99"/>
      <x:c r="N66" s="99"/>
      <x:c r="O66" s="99"/>
      <x:c r="P66" s="99"/>
      <x:c r="Q66" s="99"/>
    </x:row>
    <x:row r="67">
      <x:c r="A67" s="99"/>
      <x:c r="B67" s="99"/>
      <x:c r="C67" s="99"/>
      <x:c r="D67" s="99"/>
      <x:c r="E67" s="99"/>
      <x:c r="F67" s="99"/>
      <x:c r="G67" s="99"/>
      <x:c r="H67" s="99"/>
      <x:c r="I67" s="99"/>
      <x:c r="J67" s="99"/>
      <x:c r="K67" s="99"/>
      <x:c r="L67" s="99"/>
      <x:c r="M67" s="99"/>
      <x:c r="N67" s="99"/>
      <x:c r="O67" s="99"/>
      <x:c r="P67" s="99"/>
      <x:c r="Q67" s="99"/>
    </x:row>
    <x:row r="68">
      <x:c r="A68" s="99"/>
      <x:c r="B68" s="99"/>
      <x:c r="C68" s="99"/>
      <x:c r="D68" s="99"/>
      <x:c r="E68" s="99"/>
      <x:c r="F68" s="99"/>
      <x:c r="G68" s="99"/>
      <x:c r="H68" s="99"/>
      <x:c r="I68" s="99"/>
      <x:c r="J68" s="99"/>
      <x:c r="K68" s="99"/>
      <x:c r="L68" s="99"/>
      <x:c r="M68" s="99"/>
      <x:c r="N68" s="99"/>
      <x:c r="O68" s="99"/>
      <x:c r="P68" s="99"/>
      <x:c r="Q68" s="99"/>
    </x:row>
    <x:row r="69">
      <x:c r="A69" s="99"/>
      <x:c r="B69" s="99"/>
      <x:c r="C69" s="99"/>
      <x:c r="D69" s="99"/>
      <x:c r="E69" s="99"/>
      <x:c r="F69" s="99"/>
      <x:c r="G69" s="99"/>
      <x:c r="H69" s="99"/>
      <x:c r="I69" s="99"/>
      <x:c r="J69" s="99"/>
      <x:c r="K69" s="99"/>
      <x:c r="L69" s="99"/>
      <x:c r="M69" s="99"/>
      <x:c r="N69" s="99"/>
      <x:c r="O69" s="99"/>
      <x:c r="P69" s="99"/>
      <x:c r="Q69" s="99"/>
    </x:row>
    <x:row r="70">
      <x:c r="A70" s="99"/>
      <x:c r="B70" s="99"/>
      <x:c r="C70" s="99"/>
      <x:c r="D70" s="99"/>
      <x:c r="E70" s="99"/>
      <x:c r="F70" s="99"/>
      <x:c r="G70" s="99"/>
      <x:c r="H70" s="99"/>
      <x:c r="I70" s="99"/>
      <x:c r="J70" s="99"/>
      <x:c r="K70" s="99"/>
      <x:c r="L70" s="99"/>
      <x:c r="M70" s="99"/>
      <x:c r="N70" s="99"/>
      <x:c r="O70" s="99"/>
      <x:c r="P70" s="99"/>
      <x:c r="Q70" s="99"/>
    </x:row>
    <x:row r="71">
      <x:c r="A71" s="99"/>
      <x:c r="B71" s="99"/>
      <x:c r="C71" s="99"/>
      <x:c r="D71" s="99"/>
      <x:c r="E71" s="99"/>
      <x:c r="F71" s="99"/>
      <x:c r="G71" s="99"/>
      <x:c r="H71" s="99"/>
      <x:c r="I71" s="99"/>
      <x:c r="J71" s="99"/>
      <x:c r="K71" s="99"/>
      <x:c r="L71" s="99"/>
      <x:c r="M71" s="99"/>
      <x:c r="N71" s="99"/>
      <x:c r="O71" s="99"/>
      <x:c r="P71" s="99"/>
      <x:c r="Q71" s="99"/>
    </x:row>
    <x:row r="72">
      <x:c r="A72" s="99"/>
      <x:c r="B72" s="99"/>
      <x:c r="C72" s="99"/>
      <x:c r="D72" s="99"/>
      <x:c r="E72" s="99"/>
      <x:c r="F72" s="99"/>
      <x:c r="G72" s="99"/>
      <x:c r="H72" s="99"/>
      <x:c r="I72" s="99"/>
      <x:c r="J72" s="99"/>
      <x:c r="K72" s="99"/>
      <x:c r="L72" s="99"/>
      <x:c r="M72" s="99"/>
      <x:c r="N72" s="99"/>
      <x:c r="O72" s="99"/>
      <x:c r="P72" s="99"/>
      <x:c r="Q72" s="99"/>
    </x:row>
    <x:row r="73">
      <x:c r="A73" s="99"/>
      <x:c r="B73" s="99"/>
      <x:c r="C73" s="99"/>
      <x:c r="D73" s="99"/>
      <x:c r="E73" s="99"/>
      <x:c r="F73" s="99"/>
      <x:c r="G73" s="99"/>
      <x:c r="H73" s="99"/>
      <x:c r="I73" s="99"/>
      <x:c r="J73" s="99"/>
      <x:c r="K73" s="99"/>
      <x:c r="L73" s="99"/>
      <x:c r="M73" s="99"/>
      <x:c r="N73" s="99"/>
      <x:c r="O73" s="99"/>
      <x:c r="P73" s="99"/>
      <x:c r="Q73" s="99"/>
    </x:row>
    <x:row r="74">
      <x:c r="A74" s="99"/>
      <x:c r="B74" s="99"/>
      <x:c r="C74" s="99"/>
      <x:c r="D74" s="99"/>
      <x:c r="E74" s="99"/>
      <x:c r="F74" s="99"/>
      <x:c r="G74" s="99"/>
      <x:c r="H74" s="99"/>
      <x:c r="I74" s="99"/>
      <x:c r="J74" s="99"/>
      <x:c r="K74" s="99"/>
      <x:c r="L74" s="99"/>
      <x:c r="M74" s="99"/>
      <x:c r="N74" s="99"/>
      <x:c r="O74" s="99"/>
      <x:c r="P74" s="99"/>
      <x:c r="Q74" s="99"/>
    </x:row>
    <x:row r="75">
      <x:c r="A75" s="99"/>
      <x:c r="B75" s="99"/>
      <x:c r="C75" s="99"/>
      <x:c r="D75" s="99"/>
      <x:c r="E75" s="99"/>
      <x:c r="F75" s="99"/>
      <x:c r="G75" s="99"/>
      <x:c r="H75" s="99"/>
      <x:c r="I75" s="99"/>
      <x:c r="J75" s="99"/>
      <x:c r="K75" s="99"/>
      <x:c r="L75" s="99"/>
      <x:c r="M75" s="99"/>
      <x:c r="N75" s="99"/>
      <x:c r="O75" s="99"/>
      <x:c r="P75" s="99"/>
      <x:c r="Q75" s="99"/>
    </x:row>
    <x:row r="76">
      <x:c r="A76" s="99"/>
      <x:c r="B76" s="99"/>
      <x:c r="C76" s="99"/>
      <x:c r="D76" s="99"/>
      <x:c r="E76" s="99"/>
      <x:c r="F76" s="99"/>
      <x:c r="G76" s="99"/>
      <x:c r="H76" s="99"/>
      <x:c r="I76" s="99"/>
      <x:c r="J76" s="99"/>
      <x:c r="K76" s="99"/>
      <x:c r="L76" s="99"/>
      <x:c r="M76" s="99"/>
      <x:c r="N76" s="99"/>
      <x:c r="O76" s="99"/>
      <x:c r="P76" s="99"/>
      <x:c r="Q76" s="99"/>
    </x:row>
    <x:row r="77">
      <x:c r="A77" s="99"/>
      <x:c r="B77" s="99"/>
      <x:c r="C77" s="99"/>
      <x:c r="D77" s="99"/>
      <x:c r="E77" s="99"/>
      <x:c r="F77" s="99"/>
      <x:c r="G77" s="99"/>
      <x:c r="H77" s="99"/>
      <x:c r="I77" s="99"/>
      <x:c r="J77" s="99"/>
      <x:c r="K77" s="99"/>
      <x:c r="L77" s="99"/>
      <x:c r="M77" s="99"/>
      <x:c r="N77" s="99"/>
      <x:c r="O77" s="99"/>
      <x:c r="P77" s="99"/>
      <x:c r="Q77" s="99"/>
    </x:row>
    <x:row r="78">
      <x:c r="A78" s="99"/>
      <x:c r="B78" s="99"/>
      <x:c r="C78" s="99"/>
      <x:c r="D78" s="99"/>
      <x:c r="E78" s="99"/>
      <x:c r="F78" s="99"/>
      <x:c r="G78" s="99"/>
      <x:c r="H78" s="99"/>
      <x:c r="I78" s="99"/>
      <x:c r="J78" s="99"/>
      <x:c r="K78" s="99"/>
      <x:c r="L78" s="99"/>
      <x:c r="M78" s="99"/>
      <x:c r="N78" s="99"/>
      <x:c r="O78" s="99"/>
      <x:c r="P78" s="99"/>
      <x:c r="Q78" s="99"/>
    </x:row>
    <x:row r="79">
      <x:c r="A79" s="99"/>
      <x:c r="B79" s="99"/>
      <x:c r="C79" s="99"/>
      <x:c r="D79" s="99"/>
      <x:c r="E79" s="99"/>
      <x:c r="F79" s="99"/>
      <x:c r="G79" s="99"/>
      <x:c r="H79" s="99"/>
      <x:c r="I79" s="99"/>
      <x:c r="J79" s="99"/>
      <x:c r="K79" s="99"/>
      <x:c r="L79" s="99"/>
      <x:c r="M79" s="99"/>
      <x:c r="N79" s="99"/>
      <x:c r="O79" s="99"/>
      <x:c r="P79" s="99"/>
      <x:c r="Q79" s="99"/>
    </x:row>
    <x:row r="80">
      <x:c r="A80" s="99"/>
      <x:c r="B80" s="99"/>
      <x:c r="C80" s="99"/>
      <x:c r="D80" s="99"/>
      <x:c r="E80" s="99"/>
      <x:c r="F80" s="99"/>
      <x:c r="G80" s="99"/>
      <x:c r="H80" s="99"/>
      <x:c r="I80" s="99"/>
      <x:c r="J80" s="99"/>
      <x:c r="K80" s="99"/>
      <x:c r="L80" s="99"/>
      <x:c r="M80" s="99"/>
      <x:c r="N80" s="99"/>
      <x:c r="O80" s="99"/>
      <x:c r="P80" s="99"/>
      <x:c r="Q80" s="99"/>
    </x:row>
  </x:sheetData>
  <x:mergeCells>
    <x:mergeCell ref="A1:P1"/>
    <x:mergeCell ref="A2:P2"/>
    <x:mergeCell ref="A4:F4"/>
    <x:mergeCell ref="E5:P9"/>
    <x:mergeCell ref="A11:J11"/>
    <x:mergeCell ref="A17:P17"/>
    <x:mergeCell ref="A29:P29"/>
    <x:mergeCell ref="B30:H30"/>
    <x:mergeCell ref="I30:P30"/>
    <x:mergeCell ref="B31:H31"/>
    <x:mergeCell ref="I31:P31"/>
    <x:mergeCell ref="B32:H32"/>
    <x:mergeCell ref="I32:P32"/>
    <x:mergeCell ref="B33:H33"/>
    <x:mergeCell ref="I33:P33"/>
  </x:mergeCells>
  <x:pageMargins left="0.7" right="0.7" top="0.75" bottom="0.75" header="0.3" footer="0.3"/>
</x:worksheet>
</file>

<file path=xl/worksheets/sheet5.xml><?xml version="1.0" encoding="utf-8"?>
<x:worksheet xmlns:x="http://schemas.openxmlformats.org/spreadsheetml/2006/main">
  <x:sheetPr>
    <x:tabColor rgb="FF5F6368"/>
  </x:sheetPr>
  <x:sheetViews>
    <x:sheetView showGridLines="0" workbookViewId="0">
      <x:pane ySplit="4" topLeftCell="A5" activePane="bottomLeft" state="frozen"/>
    </x:sheetView>
  </x:sheetViews>
  <x:sheetFormatPr defaultRowHeight="15"/>
  <x:cols>
    <x:col min="1" max="1" width="8" hidden="0" customWidth="1"/>
    <x:col min="2" max="2" width="19" hidden="0" customWidth="1"/>
    <x:col min="3" max="3" width="20" hidden="0" customWidth="1"/>
    <x:col min="4" max="4" width="20" hidden="0" customWidth="1"/>
    <x:col min="5" max="5" width="16" hidden="0" customWidth="1"/>
    <x:col min="6" max="6" width="16" hidden="0" customWidth="1"/>
    <x:col min="7" max="7" width="16" hidden="0" customWidth="1"/>
    <x:col min="8" max="8" width="26" hidden="0" customWidth="1"/>
    <x:col min="9" max="9" width="62" hidden="0" customWidth="1"/>
    <x:col min="10" max="10" width="35" hidden="0" customWidth="1"/>
  </x:cols>
  <x:sheetData>
    <x:row r="1" ht="21.600000381469727" hidden="0" customHeight="1">
      <x:c r="A1" s="5" t="str">
        <x:v>NGUỒN GIÁ VÀ TÀI LIỆU THAM CHIẾU</x:v>
      </x:c>
      <x:c r="B1" s="5"/>
      <x:c r="C1" s="5"/>
      <x:c r="D1" s="5"/>
      <x:c r="E1" s="5"/>
      <x:c r="F1" s="5"/>
      <x:c r="G1" s="5"/>
      <x:c r="H1" s="5"/>
      <x:c r="I1" s="5"/>
      <x:c r="J1" s="5"/>
      <x:c r="K1" s="99"/>
      <x:c r="L1" s="99"/>
      <x:c r="M1" s="99"/>
      <x:c r="N1" s="99"/>
      <x:c r="O1" s="99"/>
      <x:c r="P1" s="99"/>
      <x:c r="Q1" s="99"/>
    </x:row>
    <x:row r="2" ht="15" hidden="0" customHeight="1">
      <x:c r="A2" s="8" t="str">
        <x:v>URL đầy đủ để kiểm tra lại. Giá cloud thay đổi theo thời gian, khu vực, hợp đồng, thuế và chiết khấu.</x:v>
      </x:c>
      <x:c r="B2" s="8"/>
      <x:c r="C2" s="8"/>
      <x:c r="D2" s="8"/>
      <x:c r="E2" s="8"/>
      <x:c r="F2" s="8"/>
      <x:c r="G2" s="8"/>
      <x:c r="H2" s="8"/>
      <x:c r="I2" s="8"/>
      <x:c r="J2" s="8"/>
      <x:c r="K2" s="99"/>
      <x:c r="L2" s="99"/>
      <x:c r="M2" s="99"/>
      <x:c r="N2" s="99"/>
      <x:c r="O2" s="99"/>
      <x:c r="P2" s="99"/>
      <x:c r="Q2" s="99"/>
    </x:row>
    <x:row r="3" ht="15" hidden="0" customHeight="1">
      <x:c r="A3" s="99"/>
      <x:c r="B3" s="99"/>
      <x:c r="C3" s="99"/>
      <x:c r="D3" s="99"/>
      <x:c r="E3" s="99"/>
      <x:c r="F3" s="99"/>
      <x:c r="G3" s="99"/>
      <x:c r="H3" s="99"/>
      <x:c r="I3" s="99"/>
      <x:c r="J3" s="99"/>
      <x:c r="K3" s="99"/>
      <x:c r="L3" s="99"/>
      <x:c r="M3" s="99"/>
      <x:c r="N3" s="99"/>
      <x:c r="O3" s="99"/>
      <x:c r="P3" s="99"/>
      <x:c r="Q3" s="99"/>
    </x:row>
    <x:row r="4" ht="48" hidden="0" customHeight="1">
      <x:c r="A4" s="29" t="str">
        <x:v>ID</x:v>
      </x:c>
      <x:c r="B4" s="29" t="str">
        <x:v>Nhà cung cấp/Chủ đề</x:v>
      </x:c>
      <x:c r="C4" s="29" t="str">
        <x:v>Hạng mục</x:v>
      </x:c>
      <x:c r="D4" s="29" t="str">
        <x:v>SKU/Chỉ tiêu</x:v>
      </x:c>
      <x:c r="E4" s="29" t="str">
        <x:v>Giá trị</x:v>
      </x:c>
      <x:c r="F4" s="29" t="str">
        <x:v>Đơn vị</x:v>
      </x:c>
      <x:c r="G4" s="29" t="str">
        <x:v>Ngày hiệu lực/tra cứu</x:v>
      </x:c>
      <x:c r="H4" s="29" t="str">
        <x:v>Tên nguồn</x:v>
      </x:c>
      <x:c r="I4" s="29" t="str">
        <x:v>URL đầy đủ</x:v>
      </x:c>
      <x:c r="J4" s="29" t="str">
        <x:v>Ghi chú</x:v>
      </x:c>
      <x:c r="K4" s="99"/>
      <x:c r="L4" s="99"/>
      <x:c r="M4" s="99"/>
      <x:c r="N4" s="99"/>
      <x:c r="O4" s="99"/>
      <x:c r="P4" s="99"/>
      <x:c r="Q4" s="99"/>
    </x:row>
    <x:row r="5" ht="108" hidden="0" customHeight="1">
      <x:c r="A5" s="31" t="str">
        <x:v>S01</x:v>
      </x:c>
      <x:c r="B5" s="31" t="str">
        <x:v>Azure</x:v>
      </x:c>
      <x:c r="C5" s="31" t="str">
        <x:v>Phương pháp</x:v>
      </x:c>
      <x:c r="D5" s="31" t="str">
        <x:v>Azure Retail Prices API</x:v>
      </x:c>
      <x:c r="E5" s="116" t="str"/>
      <x:c r="F5" s="31" t="str"/>
      <x:c r="G5" s="31" t="str">
        <x:v>2026-09-27</x:v>
      </x:c>
      <x:c r="H5" s="31" t="str">
        <x:v>Tài liệu API chính thức</x:v>
      </x:c>
      <x:c r="I5" s="117" t="str">
        <x:v>https://learn.microsoft.com/en-us/rest/api/cost-management/retail-prices/azure-retail-prices</x:v>
      </x:c>
      <x:c r="J5" s="31" t="str">
        <x:v>Giải thích API giá bán lẻ Azure</x:v>
      </x:c>
      <x:c r="K5" s="99"/>
      <x:c r="L5" s="99"/>
      <x:c r="M5" s="99"/>
      <x:c r="N5" s="99"/>
      <x:c r="O5" s="99"/>
      <x:c r="P5" s="99"/>
      <x:c r="Q5" s="99"/>
    </x:row>
    <x:row r="6" ht="288" hidden="0" customHeight="1">
      <x:c r="A6" s="31" t="str">
        <x:v>S02</x:v>
      </x:c>
      <x:c r="B6" s="31" t="str">
        <x:v>Azure</x:v>
      </x:c>
      <x:c r="C6" s="31" t="str">
        <x:v>GPU VM</x:v>
      </x:c>
      <x:c r="D6" s="31" t="str">
        <x:v>Standard_NC4as_T4_v3</x:v>
      </x:c>
      <x:c r="E6" s="116" t="n">
        <x:v>0.74</x:v>
      </x:c>
      <x:c r="F6" s="31" t="str">
        <x:v>USD/giờ</x:v>
      </x:c>
      <x:c r="G6" s="31" t="str">
        <x:v>2026-09-27</x:v>
      </x:c>
      <x:c r="H6" s="31" t="str">
        <x:v>Azure Retail Prices API</x:v>
      </x:c>
      <x:c r="I6" s="117" t="str">
        <x:v>https://prices.azure.com/api/retail/prices?$filter=serviceName%20eq%20%27Virtual%20Machines%27%20and%20armRegionName%20eq%20%27southeastasia%27%20and%20armSkuName%20eq%20%27Standard_NC4as_T4_v3%27</x:v>
      </x:c>
      <x:c r="J6" s="31" t="str">
        <x:v>Linux PAYG, Southeast Asia</x:v>
      </x:c>
      <x:c r="K6" s="99"/>
      <x:c r="L6" s="99"/>
      <x:c r="M6" s="99"/>
      <x:c r="N6" s="99"/>
      <x:c r="O6" s="99"/>
      <x:c r="P6" s="99"/>
      <x:c r="Q6" s="99"/>
    </x:row>
    <x:row r="7" ht="252" hidden="0" customHeight="1">
      <x:c r="A7" s="31" t="str">
        <x:v>S03</x:v>
      </x:c>
      <x:c r="B7" s="31" t="str">
        <x:v>Azure</x:v>
      </x:c>
      <x:c r="C7" s="31" t="str">
        <x:v>Object storage</x:v>
      </x:c>
      <x:c r="D7" s="31" t="str">
        <x:v>Blob Hot LRS</x:v>
      </x:c>
      <x:c r="E7" s="116" t="n">
        <x:v>0.02</x:v>
      </x:c>
      <x:c r="F7" s="31" t="str">
        <x:v>USD/GB-tháng</x:v>
      </x:c>
      <x:c r="G7" s="31" t="str">
        <x:v>2026-09-27</x:v>
      </x:c>
      <x:c r="H7" s="31" t="str">
        <x:v>Azure Retail Prices API</x:v>
      </x:c>
      <x:c r="I7" s="117" t="str">
        <x:v>https://prices.azure.com/api/retail/prices?$filter=serviceName%20eq%20%27Storage%27%20and%20armRegionName%20eq%20%27southeastasia%27%20and%20skuName%20eq%20%27Hot%20LRS%27</x:v>
      </x:c>
      <x:c r="J7" s="31" t="str">
        <x:v>Giá tier đầu dùng trong mô hình</x:v>
      </x:c>
      <x:c r="K7" s="99"/>
      <x:c r="L7" s="99"/>
      <x:c r="M7" s="99"/>
      <x:c r="N7" s="99"/>
      <x:c r="O7" s="99"/>
      <x:c r="P7" s="99"/>
      <x:c r="Q7" s="99"/>
    </x:row>
    <x:row r="8" ht="120" hidden="0" customHeight="1">
      <x:c r="A8" s="31" t="str">
        <x:v>S04</x:v>
      </x:c>
      <x:c r="B8" s="31" t="str">
        <x:v>Azure</x:v>
      </x:c>
      <x:c r="C8" s="31" t="str">
        <x:v>Thông số GPU</x:v>
      </x:c>
      <x:c r="D8" s="31" t="str">
        <x:v>NCasT4_v3 series</x:v>
      </x:c>
      <x:c r="E8" s="116" t="str">
        <x:v>T4 16GB</x:v>
      </x:c>
      <x:c r="F8" s="31" t="str">
        <x:v>GPU</x:v>
      </x:c>
      <x:c r="G8" s="31" t="str">
        <x:v>2026-09-27</x:v>
      </x:c>
      <x:c r="H8" s="31" t="str">
        <x:v>Microsoft Learn</x:v>
      </x:c>
      <x:c r="I8" s="117" t="str">
        <x:v>https://learn.microsoft.com/en-us/azure/virtual-machines/sizes/gpu-accelerated/ncast4v3-series</x:v>
      </x:c>
      <x:c r="J8" s="31" t="str">
        <x:v>Thông số dòng VM GPU</x:v>
      </x:c>
      <x:c r="K8" s="99"/>
      <x:c r="L8" s="99"/>
      <x:c r="M8" s="99"/>
      <x:c r="N8" s="99"/>
      <x:c r="O8" s="99"/>
      <x:c r="P8" s="99"/>
      <x:c r="Q8" s="99"/>
    </x:row>
    <x:row r="9" ht="132" hidden="0" customHeight="1">
      <x:c r="A9" s="31" t="str">
        <x:v>S05</x:v>
      </x:c>
      <x:c r="B9" s="31" t="str">
        <x:v>AWS</x:v>
      </x:c>
      <x:c r="C9" s="31" t="str">
        <x:v>GPU VM</x:v>
      </x:c>
      <x:c r="D9" s="31" t="str">
        <x:v>g4dn.xlarge</x:v>
      </x:c>
      <x:c r="E9" s="116" t="n">
        <x:v>0.736</x:v>
      </x:c>
      <x:c r="F9" s="31" t="str">
        <x:v>USD/giờ</x:v>
      </x:c>
      <x:c r="G9" s="31" t="str">
        <x:v>2026-09-01</x:v>
      </x:c>
      <x:c r="H9" s="31" t="str">
        <x:v>AWS EC2 Price List – Singapore</x:v>
      </x:c>
      <x:c r="I9" s="117" t="str">
        <x:v>https://pricing.us-east-1.amazonaws.com/offers/v1.0/aws/AmazonEC2/current/ap-southeast-1/index.json</x:v>
      </x:c>
      <x:c r="J9" s="31" t="str">
        <x:v>SKU QJXPM8A6Z7YARUQN; Linux On-Demand</x:v>
      </x:c>
      <x:c r="K9" s="99"/>
      <x:c r="L9" s="99"/>
      <x:c r="M9" s="99"/>
      <x:c r="N9" s="99"/>
      <x:c r="O9" s="99"/>
      <x:c r="P9" s="99"/>
      <x:c r="Q9" s="99"/>
    </x:row>
    <x:row r="10" ht="132" hidden="0" customHeight="1">
      <x:c r="A10" s="31" t="str">
        <x:v>S06</x:v>
      </x:c>
      <x:c r="B10" s="31" t="str">
        <x:v>AWS</x:v>
      </x:c>
      <x:c r="C10" s="31" t="str">
        <x:v>Object storage</x:v>
      </x:c>
      <x:c r="D10" s="31" t="str">
        <x:v>S3 Standard first 50TB</x:v>
      </x:c>
      <x:c r="E10" s="116" t="n">
        <x:v>0.025</x:v>
      </x:c>
      <x:c r="F10" s="31" t="str">
        <x:v>USD/GB-tháng</x:v>
      </x:c>
      <x:c r="G10" s="31" t="str">
        <x:v>2026-09-01</x:v>
      </x:c>
      <x:c r="H10" s="31" t="str">
        <x:v>AWS S3 Price List – Singapore</x:v>
      </x:c>
      <x:c r="I10" s="117" t="str">
        <x:v>https://pricing.us-east-1.amazonaws.com/offers/v1.0/aws/AmazonS3/current/ap-southeast-1/index.json</x:v>
      </x:c>
      <x:c r="J10" s="31" t="str">
        <x:v>SKU M6MTARCQFUQBQ2V3</x:v>
      </x:c>
      <x:c r="K10" s="99"/>
      <x:c r="L10" s="99"/>
      <x:c r="M10" s="99"/>
      <x:c r="N10" s="99"/>
      <x:c r="O10" s="99"/>
      <x:c r="P10" s="99"/>
      <x:c r="Q10" s="99"/>
    </x:row>
    <x:row r="11" ht="60" hidden="0" customHeight="1">
      <x:c r="A11" s="31" t="str">
        <x:v>S07</x:v>
      </x:c>
      <x:c r="B11" s="31" t="str">
        <x:v>AWS</x:v>
      </x:c>
      <x:c r="C11" s="31" t="str">
        <x:v>Thông số GPU</x:v>
      </x:c>
      <x:c r="D11" s="31" t="str">
        <x:v>Amazon EC2 G4</x:v>
      </x:c>
      <x:c r="E11" s="116" t="str">
        <x:v>T4 16GB</x:v>
      </x:c>
      <x:c r="F11" s="31" t="str">
        <x:v>GPU</x:v>
      </x:c>
      <x:c r="G11" s="31" t="str">
        <x:v>2026-09-27</x:v>
      </x:c>
      <x:c r="H11" s="31" t="str">
        <x:v>AWS EC2 G4 instances</x:v>
      </x:c>
      <x:c r="I11" s="117" t="str">
        <x:v>https://aws.amazon.com/ec2/instance-types/g4/</x:v>
      </x:c>
      <x:c r="J11" s="31" t="str">
        <x:v>Thông số g4dn</x:v>
      </x:c>
      <x:c r="K11" s="99"/>
      <x:c r="L11" s="99"/>
      <x:c r="M11" s="99"/>
      <x:c r="N11" s="99"/>
      <x:c r="O11" s="99"/>
      <x:c r="P11" s="99"/>
      <x:c r="Q11" s="99"/>
    </x:row>
    <x:row r="12" ht="84" hidden="0" customHeight="1">
      <x:c r="A12" s="31" t="str">
        <x:v>S08</x:v>
      </x:c>
      <x:c r="B12" s="31" t="str">
        <x:v>GCP</x:v>
      </x:c>
      <x:c r="C12" s="31" t="str">
        <x:v>GPU VM</x:v>
      </x:c>
      <x:c r="D12" s="31" t="str">
        <x:v>g2-standard-4</x:v>
      </x:c>
      <x:c r="E12" s="116" t="n">
        <x:v>516.99</x:v>
      </x:c>
      <x:c r="F12" s="31" t="str">
        <x:v>USD/tháng</x:v>
      </x:c>
      <x:c r="G12" s="31" t="str">
        <x:v>2026-09-27</x:v>
      </x:c>
      <x:c r="H12" s="31" t="str">
        <x:v>Google Cloud Pricing Calculator</x:v>
      </x:c>
      <x:c r="I12" s="117" t="str">
        <x:v>https://cloud.google.com/products/calculator</x:v>
      </x:c>
      <x:c r="J12" s="31" t="str">
        <x:v>730h, Regular, Linux, Singapore, 1 NVIDIA L4, boot disk 10GB</x:v>
      </x:c>
      <x:c r="K12" s="99"/>
      <x:c r="L12" s="99"/>
      <x:c r="M12" s="99"/>
      <x:c r="N12" s="99"/>
      <x:c r="O12" s="99"/>
      <x:c r="P12" s="99"/>
      <x:c r="Q12" s="99"/>
    </x:row>
    <x:row r="13" ht="96" hidden="0" customHeight="1">
      <x:c r="A13" s="31" t="str">
        <x:v>S09</x:v>
      </x:c>
      <x:c r="B13" s="31" t="str">
        <x:v>GCP</x:v>
      </x:c>
      <x:c r="C13" s="31" t="str">
        <x:v>Thông số GPU</x:v>
      </x:c>
      <x:c r="D13" s="31" t="str">
        <x:v>G2 machine series</x:v>
      </x:c>
      <x:c r="E13" s="116" t="str">
        <x:v>L4 24GB</x:v>
      </x:c>
      <x:c r="F13" s="31" t="str">
        <x:v>GPU</x:v>
      </x:c>
      <x:c r="G13" s="31" t="str">
        <x:v>2026-09-27</x:v>
      </x:c>
      <x:c r="H13" s="31" t="str">
        <x:v>Google Cloud Compute docs</x:v>
      </x:c>
      <x:c r="I13" s="117" t="str">
        <x:v>https://cloud.google.com/compute/docs/accelerator-optimized-machines#g2-vms</x:v>
      </x:c>
      <x:c r="J13" s="31" t="str">
        <x:v>Thông số g2-standard-4</x:v>
      </x:c>
      <x:c r="K13" s="99"/>
      <x:c r="L13" s="99"/>
      <x:c r="M13" s="99"/>
      <x:c r="N13" s="99"/>
      <x:c r="O13" s="99"/>
      <x:c r="P13" s="99"/>
      <x:c r="Q13" s="99"/>
    </x:row>
    <x:row r="14" ht="84" hidden="0" customHeight="1">
      <x:c r="A14" s="31" t="str">
        <x:v>S10</x:v>
      </x:c>
      <x:c r="B14" s="31" t="str">
        <x:v>GCP</x:v>
      </x:c>
      <x:c r="C14" s="31" t="str">
        <x:v>Object storage</x:v>
      </x:c>
      <x:c r="D14" s="31" t="str">
        <x:v>Cloud Storage Standard regional</x:v>
      </x:c>
      <x:c r="E14" s="116" t="n">
        <x:v>0.023</x:v>
      </x:c>
      <x:c r="F14" s="31" t="str">
        <x:v>USD/GB-tháng</x:v>
      </x:c>
      <x:c r="G14" s="31" t="str">
        <x:v>2026-09-27</x:v>
      </x:c>
      <x:c r="H14" s="31" t="str">
        <x:v>Google Cloud Storage pricing</x:v>
      </x:c>
      <x:c r="I14" s="117" t="str">
        <x:v>https://cloud.google.com/storage/pricing</x:v>
      </x:c>
      <x:c r="J14" s="31" t="str">
        <x:v>Giả định Standard regional Singapore; kiểm tra calculator khi chốt</x:v>
      </x:c>
      <x:c r="K14" s="99"/>
      <x:c r="L14" s="99"/>
      <x:c r="M14" s="99"/>
      <x:c r="N14" s="99"/>
      <x:c r="O14" s="99"/>
      <x:c r="P14" s="99"/>
      <x:c r="Q14" s="99"/>
    </x:row>
    <x:row r="15" ht="72" hidden="0" customHeight="1">
      <x:c r="A15" s="31" t="str">
        <x:v>S11</x:v>
      </x:c>
      <x:c r="B15" s="31" t="str">
        <x:v>Mô hình</x:v>
      </x:c>
      <x:c r="C15" s="31" t="str">
        <x:v>Tỷ giá</x:v>
      </x:c>
      <x:c r="D15" s="31" t="str">
        <x:v>Tỷ giá lập kế hoạch</x:v>
      </x:c>
      <x:c r="E15" s="116" t="n">
        <x:v>26500</x:v>
      </x:c>
      <x:c r="F15" s="31" t="str">
        <x:v>VND/USD</x:v>
      </x:c>
      <x:c r="G15" s="31" t="str">
        <x:v>2026-09-27</x:v>
      </x:c>
      <x:c r="H15" s="31" t="str">
        <x:v>Giả định nội bộ</x:v>
      </x:c>
      <x:c r="I15" s="117" t="str"/>
      <x:c r="J15" s="31" t="str">
        <x:v>Thay bằng tỷ giá tài chính của doanh nghiệp khi phê duyệt</x:v>
      </x:c>
      <x:c r="K15" s="99"/>
      <x:c r="L15" s="99"/>
      <x:c r="M15" s="99"/>
      <x:c r="N15" s="99"/>
      <x:c r="O15" s="99"/>
      <x:c r="P15" s="99"/>
      <x:c r="Q15" s="99"/>
    </x:row>
    <x:row r="16" ht="96" hidden="0" customHeight="1">
      <x:c r="A16" s="31" t="str">
        <x:v>S12</x:v>
      </x:c>
      <x:c r="B16" s="31" t="str">
        <x:v>Mô hình</x:v>
      </x:c>
      <x:c r="C16" s="31" t="str">
        <x:v>Dung lượng video</x:v>
      </x:c>
      <x:c r="D16" s="31" t="str">
        <x:v>2 Mbps × 10.8 GB/ngày/Mbps</x:v>
      </x:c>
      <x:c r="E16" s="116" t="n">
        <x:v>648</x:v>
      </x:c>
      <x:c r="F16" s="31" t="str">
        <x:v>GB/camera/30 ngày</x:v>
      </x:c>
      <x:c r="G16" s="31" t="str">
        <x:v>2026-09-27</x:v>
      </x:c>
      <x:c r="H16" s="31" t="str">
        <x:v>Công thức kỹ thuật</x:v>
      </x:c>
      <x:c r="I16" s="117" t="str"/>
      <x:c r="J16" s="31" t="str">
        <x:v>Không gồm overhead codec/container; đo bitrate thật để thay thế</x:v>
      </x:c>
      <x:c r="K16" s="99"/>
      <x:c r="L16" s="99"/>
      <x:c r="M16" s="99"/>
      <x:c r="N16" s="99"/>
      <x:c r="O16" s="99"/>
      <x:c r="P16" s="99"/>
      <x:c r="Q16" s="99"/>
    </x:row>
    <x:row r="17" ht="120" hidden="0" customHeight="1">
      <x:c r="A17" s="31" t="str">
        <x:v>S13</x:v>
      </x:c>
      <x:c r="B17" s="31" t="str">
        <x:v>Pháp lý</x:v>
      </x:c>
      <x:c r="C17" s="31" t="str">
        <x:v>Dữ liệu cá nhân</x:v>
      </x:c>
      <x:c r="D17" s="31" t="str">
        <x:v>Luật Bảo vệ dữ liệu cá nhân 91/2025/QH15</x:v>
      </x:c>
      <x:c r="E17" s="116" t="str"/>
      <x:c r="F17" s="31" t="str"/>
      <x:c r="G17" s="31" t="str">
        <x:v>Hiệu lực 2026-01-01</x:v>
      </x:c>
      <x:c r="H17" s="31" t="str">
        <x:v>Cổng thông tin Chính phủ</x:v>
      </x:c>
      <x:c r="I17" s="117" t="str">
        <x:v>https://xaydungchinhsach.chinhphu.vn/toan-van-luat-bao-ve-du-lieu-ca-nhan-119250716143849123.htm</x:v>
      </x:c>
      <x:c r="J17" s="31" t="str">
        <x:v>Cần pháp chế xác nhận cách áp dụng cho hình ảnh camera</x:v>
      </x:c>
      <x:c r="K17" s="99"/>
      <x:c r="L17" s="99"/>
      <x:c r="M17" s="99"/>
      <x:c r="N17" s="99"/>
      <x:c r="O17" s="99"/>
      <x:c r="P17" s="99"/>
      <x:c r="Q17" s="99"/>
    </x:row>
    <x:row r="18">
      <x:c r="A18" s="99"/>
      <x:c r="B18" s="99"/>
      <x:c r="C18" s="99"/>
      <x:c r="D18" s="99"/>
      <x:c r="E18" s="99"/>
      <x:c r="F18" s="99"/>
      <x:c r="G18" s="99"/>
      <x:c r="H18" s="99"/>
      <x:c r="I18" s="99"/>
      <x:c r="J18" s="99"/>
      <x:c r="K18" s="99"/>
      <x:c r="L18" s="99"/>
      <x:c r="M18" s="99"/>
      <x:c r="N18" s="99"/>
      <x:c r="O18" s="99"/>
      <x:c r="P18" s="99"/>
      <x:c r="Q18" s="99"/>
    </x:row>
    <x:row r="19">
      <x:c r="A19" s="99"/>
      <x:c r="B19" s="99"/>
      <x:c r="C19" s="99"/>
      <x:c r="D19" s="99"/>
      <x:c r="E19" s="99"/>
      <x:c r="F19" s="99"/>
      <x:c r="G19" s="99"/>
      <x:c r="H19" s="99"/>
      <x:c r="I19" s="99"/>
      <x:c r="J19" s="99"/>
      <x:c r="K19" s="99"/>
      <x:c r="L19" s="99"/>
      <x:c r="M19" s="99"/>
      <x:c r="N19" s="99"/>
      <x:c r="O19" s="99"/>
      <x:c r="P19" s="99"/>
      <x:c r="Q19" s="99"/>
    </x:row>
    <x:row r="20">
      <x:c r="A20" s="99"/>
      <x:c r="B20" s="99"/>
      <x:c r="C20" s="99"/>
      <x:c r="D20" s="99"/>
      <x:c r="E20" s="99"/>
      <x:c r="F20" s="99"/>
      <x:c r="G20" s="99"/>
      <x:c r="H20" s="99"/>
      <x:c r="I20" s="99"/>
      <x:c r="J20" s="99"/>
      <x:c r="K20" s="99"/>
      <x:c r="L20" s="99"/>
      <x:c r="M20" s="99"/>
      <x:c r="N20" s="99"/>
      <x:c r="O20" s="99"/>
      <x:c r="P20" s="99"/>
      <x:c r="Q20" s="99"/>
    </x:row>
    <x:row r="21">
      <x:c r="A21" s="99"/>
      <x:c r="B21" s="99"/>
      <x:c r="C21" s="99"/>
      <x:c r="D21" s="99"/>
      <x:c r="E21" s="99"/>
      <x:c r="F21" s="99"/>
      <x:c r="G21" s="99"/>
      <x:c r="H21" s="99"/>
      <x:c r="I21" s="99"/>
      <x:c r="J21" s="99"/>
      <x:c r="K21" s="99"/>
      <x:c r="L21" s="99"/>
      <x:c r="M21" s="99"/>
      <x:c r="N21" s="99"/>
      <x:c r="O21" s="99"/>
      <x:c r="P21" s="99"/>
      <x:c r="Q21" s="99"/>
    </x:row>
    <x:row r="22">
      <x:c r="A22" s="99"/>
      <x:c r="B22" s="99"/>
      <x:c r="C22" s="99"/>
      <x:c r="D22" s="99"/>
      <x:c r="E22" s="99"/>
      <x:c r="F22" s="99"/>
      <x:c r="G22" s="99"/>
      <x:c r="H22" s="99"/>
      <x:c r="I22" s="99"/>
      <x:c r="J22" s="99"/>
      <x:c r="K22" s="99"/>
      <x:c r="L22" s="99"/>
      <x:c r="M22" s="99"/>
      <x:c r="N22" s="99"/>
      <x:c r="O22" s="99"/>
      <x:c r="P22" s="99"/>
      <x:c r="Q22" s="99"/>
    </x:row>
    <x:row r="23">
      <x:c r="A23" s="99"/>
      <x:c r="B23" s="99"/>
      <x:c r="C23" s="99"/>
      <x:c r="D23" s="99"/>
      <x:c r="E23" s="99"/>
      <x:c r="F23" s="99"/>
      <x:c r="G23" s="99"/>
      <x:c r="H23" s="99"/>
      <x:c r="I23" s="99"/>
      <x:c r="J23" s="99"/>
      <x:c r="K23" s="99"/>
      <x:c r="L23" s="99"/>
      <x:c r="M23" s="99"/>
      <x:c r="N23" s="99"/>
      <x:c r="O23" s="99"/>
      <x:c r="P23" s="99"/>
      <x:c r="Q23" s="99"/>
    </x:row>
    <x:row r="24">
      <x:c r="A24" s="99"/>
      <x:c r="B24" s="99"/>
      <x:c r="C24" s="99"/>
      <x:c r="D24" s="99"/>
      <x:c r="E24" s="99"/>
      <x:c r="F24" s="99"/>
      <x:c r="G24" s="99"/>
      <x:c r="H24" s="99"/>
      <x:c r="I24" s="99"/>
      <x:c r="J24" s="99"/>
      <x:c r="K24" s="99"/>
      <x:c r="L24" s="99"/>
      <x:c r="M24" s="99"/>
      <x:c r="N24" s="99"/>
      <x:c r="O24" s="99"/>
      <x:c r="P24" s="99"/>
      <x:c r="Q24" s="99"/>
    </x:row>
    <x:row r="25">
      <x:c r="A25" s="99"/>
      <x:c r="B25" s="99"/>
      <x:c r="C25" s="99"/>
      <x:c r="D25" s="99"/>
      <x:c r="E25" s="99"/>
      <x:c r="F25" s="99"/>
      <x:c r="G25" s="99"/>
      <x:c r="H25" s="99"/>
      <x:c r="I25" s="99"/>
      <x:c r="J25" s="99"/>
      <x:c r="K25" s="99"/>
      <x:c r="L25" s="99"/>
      <x:c r="M25" s="99"/>
      <x:c r="N25" s="99"/>
      <x:c r="O25" s="99"/>
      <x:c r="P25" s="99"/>
      <x:c r="Q25" s="99"/>
    </x:row>
    <x:row r="26">
      <x:c r="A26" s="99"/>
      <x:c r="B26" s="99"/>
      <x:c r="C26" s="99"/>
      <x:c r="D26" s="99"/>
      <x:c r="E26" s="99"/>
      <x:c r="F26" s="99"/>
      <x:c r="G26" s="99"/>
      <x:c r="H26" s="99"/>
      <x:c r="I26" s="99"/>
      <x:c r="J26" s="99"/>
      <x:c r="K26" s="99"/>
      <x:c r="L26" s="99"/>
      <x:c r="M26" s="99"/>
      <x:c r="N26" s="99"/>
      <x:c r="O26" s="99"/>
      <x:c r="P26" s="99"/>
      <x:c r="Q26" s="99"/>
    </x:row>
    <x:row r="27">
      <x:c r="A27" s="99"/>
      <x:c r="B27" s="99"/>
      <x:c r="C27" s="99"/>
      <x:c r="D27" s="99"/>
      <x:c r="E27" s="99"/>
      <x:c r="F27" s="99"/>
      <x:c r="G27" s="99"/>
      <x:c r="H27" s="99"/>
      <x:c r="I27" s="99"/>
      <x:c r="J27" s="99"/>
      <x:c r="K27" s="99"/>
      <x:c r="L27" s="99"/>
      <x:c r="M27" s="99"/>
      <x:c r="N27" s="99"/>
      <x:c r="O27" s="99"/>
      <x:c r="P27" s="99"/>
      <x:c r="Q27" s="99"/>
    </x:row>
    <x:row r="28">
      <x:c r="A28" s="99"/>
      <x:c r="B28" s="99"/>
      <x:c r="C28" s="99"/>
      <x:c r="D28" s="99"/>
      <x:c r="E28" s="99"/>
      <x:c r="F28" s="99"/>
      <x:c r="G28" s="99"/>
      <x:c r="H28" s="99"/>
      <x:c r="I28" s="99"/>
      <x:c r="J28" s="99"/>
      <x:c r="K28" s="99"/>
      <x:c r="L28" s="99"/>
      <x:c r="M28" s="99"/>
      <x:c r="N28" s="99"/>
      <x:c r="O28" s="99"/>
      <x:c r="P28" s="99"/>
      <x:c r="Q28" s="99"/>
    </x:row>
    <x:row r="29">
      <x:c r="A29" s="99"/>
      <x:c r="B29" s="99"/>
      <x:c r="C29" s="99"/>
      <x:c r="D29" s="99"/>
      <x:c r="E29" s="99"/>
      <x:c r="F29" s="99"/>
      <x:c r="G29" s="99"/>
      <x:c r="H29" s="99"/>
      <x:c r="I29" s="99"/>
      <x:c r="J29" s="99"/>
      <x:c r="K29" s="99"/>
      <x:c r="L29" s="99"/>
      <x:c r="M29" s="99"/>
      <x:c r="N29" s="99"/>
      <x:c r="O29" s="99"/>
      <x:c r="P29" s="99"/>
      <x:c r="Q29" s="99"/>
    </x:row>
    <x:row r="30">
      <x:c r="A30" s="99"/>
      <x:c r="B30" s="99"/>
      <x:c r="C30" s="99"/>
      <x:c r="D30" s="99"/>
      <x:c r="E30" s="99"/>
      <x:c r="F30" s="99"/>
      <x:c r="G30" s="99"/>
      <x:c r="H30" s="99"/>
      <x:c r="I30" s="99"/>
      <x:c r="J30" s="99"/>
      <x:c r="K30" s="99"/>
      <x:c r="L30" s="99"/>
      <x:c r="M30" s="99"/>
      <x:c r="N30" s="99"/>
      <x:c r="O30" s="99"/>
      <x:c r="P30" s="99"/>
      <x:c r="Q30" s="99"/>
    </x:row>
    <x:row r="31">
      <x:c r="A31" s="99"/>
      <x:c r="B31" s="99"/>
      <x:c r="C31" s="99"/>
      <x:c r="D31" s="99"/>
      <x:c r="E31" s="99"/>
      <x:c r="F31" s="99"/>
      <x:c r="G31" s="99"/>
      <x:c r="H31" s="99"/>
      <x:c r="I31" s="99"/>
      <x:c r="J31" s="99"/>
      <x:c r="K31" s="99"/>
      <x:c r="L31" s="99"/>
      <x:c r="M31" s="99"/>
      <x:c r="N31" s="99"/>
      <x:c r="O31" s="99"/>
      <x:c r="P31" s="99"/>
      <x:c r="Q31" s="99"/>
    </x:row>
    <x:row r="32">
      <x:c r="A32" s="99"/>
      <x:c r="B32" s="99"/>
      <x:c r="C32" s="99"/>
      <x:c r="D32" s="99"/>
      <x:c r="E32" s="99"/>
      <x:c r="F32" s="99"/>
      <x:c r="G32" s="99"/>
      <x:c r="H32" s="99"/>
      <x:c r="I32" s="99"/>
      <x:c r="J32" s="99"/>
      <x:c r="K32" s="99"/>
      <x:c r="L32" s="99"/>
      <x:c r="M32" s="99"/>
      <x:c r="N32" s="99"/>
      <x:c r="O32" s="99"/>
      <x:c r="P32" s="99"/>
      <x:c r="Q32" s="99"/>
    </x:row>
    <x:row r="33">
      <x:c r="A33" s="99"/>
      <x:c r="B33" s="99"/>
      <x:c r="C33" s="99"/>
      <x:c r="D33" s="99"/>
      <x:c r="E33" s="99"/>
      <x:c r="F33" s="99"/>
      <x:c r="G33" s="99"/>
      <x:c r="H33" s="99"/>
      <x:c r="I33" s="99"/>
      <x:c r="J33" s="99"/>
      <x:c r="K33" s="99"/>
      <x:c r="L33" s="99"/>
      <x:c r="M33" s="99"/>
      <x:c r="N33" s="99"/>
      <x:c r="O33" s="99"/>
      <x:c r="P33" s="99"/>
      <x:c r="Q33" s="99"/>
    </x:row>
    <x:row r="34">
      <x:c r="A34" s="99"/>
      <x:c r="B34" s="99"/>
      <x:c r="C34" s="99"/>
      <x:c r="D34" s="99"/>
      <x:c r="E34" s="99"/>
      <x:c r="F34" s="99"/>
      <x:c r="G34" s="99"/>
      <x:c r="H34" s="99"/>
      <x:c r="I34" s="99"/>
      <x:c r="J34" s="99"/>
      <x:c r="K34" s="99"/>
      <x:c r="L34" s="99"/>
      <x:c r="M34" s="99"/>
      <x:c r="N34" s="99"/>
      <x:c r="O34" s="99"/>
      <x:c r="P34" s="99"/>
      <x:c r="Q34" s="99"/>
    </x:row>
    <x:row r="35">
      <x:c r="A35" s="99"/>
      <x:c r="B35" s="99"/>
      <x:c r="C35" s="99"/>
      <x:c r="D35" s="99"/>
      <x:c r="E35" s="99"/>
      <x:c r="F35" s="99"/>
      <x:c r="G35" s="99"/>
      <x:c r="H35" s="99"/>
      <x:c r="I35" s="99"/>
      <x:c r="J35" s="99"/>
      <x:c r="K35" s="99"/>
      <x:c r="L35" s="99"/>
      <x:c r="M35" s="99"/>
      <x:c r="N35" s="99"/>
      <x:c r="O35" s="99"/>
      <x:c r="P35" s="99"/>
      <x:c r="Q35" s="99"/>
    </x:row>
    <x:row r="36">
      <x:c r="A36" s="99"/>
      <x:c r="B36" s="99"/>
      <x:c r="C36" s="99"/>
      <x:c r="D36" s="99"/>
      <x:c r="E36" s="99"/>
      <x:c r="F36" s="99"/>
      <x:c r="G36" s="99"/>
      <x:c r="H36" s="99"/>
      <x:c r="I36" s="99"/>
      <x:c r="J36" s="99"/>
      <x:c r="K36" s="99"/>
      <x:c r="L36" s="99"/>
      <x:c r="M36" s="99"/>
      <x:c r="N36" s="99"/>
      <x:c r="O36" s="99"/>
      <x:c r="P36" s="99"/>
      <x:c r="Q36" s="99"/>
    </x:row>
    <x:row r="37">
      <x:c r="A37" s="99"/>
      <x:c r="B37" s="99"/>
      <x:c r="C37" s="99"/>
      <x:c r="D37" s="99"/>
      <x:c r="E37" s="99"/>
      <x:c r="F37" s="99"/>
      <x:c r="G37" s="99"/>
      <x:c r="H37" s="99"/>
      <x:c r="I37" s="99"/>
      <x:c r="J37" s="99"/>
      <x:c r="K37" s="99"/>
      <x:c r="L37" s="99"/>
      <x:c r="M37" s="99"/>
      <x:c r="N37" s="99"/>
      <x:c r="O37" s="99"/>
      <x:c r="P37" s="99"/>
      <x:c r="Q37" s="99"/>
    </x:row>
    <x:row r="38">
      <x:c r="A38" s="99"/>
      <x:c r="B38" s="99"/>
      <x:c r="C38" s="99"/>
      <x:c r="D38" s="99"/>
      <x:c r="E38" s="99"/>
      <x:c r="F38" s="99"/>
      <x:c r="G38" s="99"/>
      <x:c r="H38" s="99"/>
      <x:c r="I38" s="99"/>
      <x:c r="J38" s="99"/>
      <x:c r="K38" s="99"/>
      <x:c r="L38" s="99"/>
      <x:c r="M38" s="99"/>
      <x:c r="N38" s="99"/>
      <x:c r="O38" s="99"/>
      <x:c r="P38" s="99"/>
      <x:c r="Q38" s="99"/>
    </x:row>
    <x:row r="39">
      <x:c r="A39" s="99"/>
      <x:c r="B39" s="99"/>
      <x:c r="C39" s="99"/>
      <x:c r="D39" s="99"/>
      <x:c r="E39" s="99"/>
      <x:c r="F39" s="99"/>
      <x:c r="G39" s="99"/>
      <x:c r="H39" s="99"/>
      <x:c r="I39" s="99"/>
      <x:c r="J39" s="99"/>
      <x:c r="K39" s="99"/>
      <x:c r="L39" s="99"/>
      <x:c r="M39" s="99"/>
      <x:c r="N39" s="99"/>
      <x:c r="O39" s="99"/>
      <x:c r="P39" s="99"/>
      <x:c r="Q39" s="99"/>
    </x:row>
    <x:row r="40">
      <x:c r="A40" s="99"/>
      <x:c r="B40" s="99"/>
      <x:c r="C40" s="99"/>
      <x:c r="D40" s="99"/>
      <x:c r="E40" s="99"/>
      <x:c r="F40" s="99"/>
      <x:c r="G40" s="99"/>
      <x:c r="H40" s="99"/>
      <x:c r="I40" s="99"/>
      <x:c r="J40" s="99"/>
      <x:c r="K40" s="99"/>
      <x:c r="L40" s="99"/>
      <x:c r="M40" s="99"/>
      <x:c r="N40" s="99"/>
      <x:c r="O40" s="99"/>
      <x:c r="P40" s="99"/>
      <x:c r="Q40" s="99"/>
    </x:row>
    <x:row r="41">
      <x:c r="A41" s="99"/>
      <x:c r="B41" s="99"/>
      <x:c r="C41" s="99"/>
      <x:c r="D41" s="99"/>
      <x:c r="E41" s="99"/>
      <x:c r="F41" s="99"/>
      <x:c r="G41" s="99"/>
      <x:c r="H41" s="99"/>
      <x:c r="I41" s="99"/>
      <x:c r="J41" s="99"/>
      <x:c r="K41" s="99"/>
      <x:c r="L41" s="99"/>
      <x:c r="M41" s="99"/>
      <x:c r="N41" s="99"/>
      <x:c r="O41" s="99"/>
      <x:c r="P41" s="99"/>
      <x:c r="Q41" s="99"/>
    </x:row>
    <x:row r="42">
      <x:c r="A42" s="99"/>
      <x:c r="B42" s="99"/>
      <x:c r="C42" s="99"/>
      <x:c r="D42" s="99"/>
      <x:c r="E42" s="99"/>
      <x:c r="F42" s="99"/>
      <x:c r="G42" s="99"/>
      <x:c r="H42" s="99"/>
      <x:c r="I42" s="99"/>
      <x:c r="J42" s="99"/>
      <x:c r="K42" s="99"/>
      <x:c r="L42" s="99"/>
      <x:c r="M42" s="99"/>
      <x:c r="N42" s="99"/>
      <x:c r="O42" s="99"/>
      <x:c r="P42" s="99"/>
      <x:c r="Q42" s="99"/>
    </x:row>
    <x:row r="43">
      <x:c r="A43" s="99"/>
      <x:c r="B43" s="99"/>
      <x:c r="C43" s="99"/>
      <x:c r="D43" s="99"/>
      <x:c r="E43" s="99"/>
      <x:c r="F43" s="99"/>
      <x:c r="G43" s="99"/>
      <x:c r="H43" s="99"/>
      <x:c r="I43" s="99"/>
      <x:c r="J43" s="99"/>
      <x:c r="K43" s="99"/>
      <x:c r="L43" s="99"/>
      <x:c r="M43" s="99"/>
      <x:c r="N43" s="99"/>
      <x:c r="O43" s="99"/>
      <x:c r="P43" s="99"/>
      <x:c r="Q43" s="99"/>
    </x:row>
    <x:row r="44">
      <x:c r="A44" s="99"/>
      <x:c r="B44" s="99"/>
      <x:c r="C44" s="99"/>
      <x:c r="D44" s="99"/>
      <x:c r="E44" s="99"/>
      <x:c r="F44" s="99"/>
      <x:c r="G44" s="99"/>
      <x:c r="H44" s="99"/>
      <x:c r="I44" s="99"/>
      <x:c r="J44" s="99"/>
      <x:c r="K44" s="99"/>
      <x:c r="L44" s="99"/>
      <x:c r="M44" s="99"/>
      <x:c r="N44" s="99"/>
      <x:c r="O44" s="99"/>
      <x:c r="P44" s="99"/>
      <x:c r="Q44" s="99"/>
    </x:row>
    <x:row r="45">
      <x:c r="A45" s="99"/>
      <x:c r="B45" s="99"/>
      <x:c r="C45" s="99"/>
      <x:c r="D45" s="99"/>
      <x:c r="E45" s="99"/>
      <x:c r="F45" s="99"/>
      <x:c r="G45" s="99"/>
      <x:c r="H45" s="99"/>
      <x:c r="I45" s="99"/>
      <x:c r="J45" s="99"/>
      <x:c r="K45" s="99"/>
      <x:c r="L45" s="99"/>
      <x:c r="M45" s="99"/>
      <x:c r="N45" s="99"/>
      <x:c r="O45" s="99"/>
      <x:c r="P45" s="99"/>
      <x:c r="Q45" s="99"/>
    </x:row>
    <x:row r="46">
      <x:c r="A46" s="99"/>
      <x:c r="B46" s="99"/>
      <x:c r="C46" s="99"/>
      <x:c r="D46" s="99"/>
      <x:c r="E46" s="99"/>
      <x:c r="F46" s="99"/>
      <x:c r="G46" s="99"/>
      <x:c r="H46" s="99"/>
      <x:c r="I46" s="99"/>
      <x:c r="J46" s="99"/>
      <x:c r="K46" s="99"/>
      <x:c r="L46" s="99"/>
      <x:c r="M46" s="99"/>
      <x:c r="N46" s="99"/>
      <x:c r="O46" s="99"/>
      <x:c r="P46" s="99"/>
      <x:c r="Q46" s="99"/>
    </x:row>
    <x:row r="47">
      <x:c r="A47" s="99"/>
      <x:c r="B47" s="99"/>
      <x:c r="C47" s="99"/>
      <x:c r="D47" s="99"/>
      <x:c r="E47" s="99"/>
      <x:c r="F47" s="99"/>
      <x:c r="G47" s="99"/>
      <x:c r="H47" s="99"/>
      <x:c r="I47" s="99"/>
      <x:c r="J47" s="99"/>
      <x:c r="K47" s="99"/>
      <x:c r="L47" s="99"/>
      <x:c r="M47" s="99"/>
      <x:c r="N47" s="99"/>
      <x:c r="O47" s="99"/>
      <x:c r="P47" s="99"/>
      <x:c r="Q47" s="99"/>
    </x:row>
    <x:row r="48">
      <x:c r="A48" s="99"/>
      <x:c r="B48" s="99"/>
      <x:c r="C48" s="99"/>
      <x:c r="D48" s="99"/>
      <x:c r="E48" s="99"/>
      <x:c r="F48" s="99"/>
      <x:c r="G48" s="99"/>
      <x:c r="H48" s="99"/>
      <x:c r="I48" s="99"/>
      <x:c r="J48" s="99"/>
      <x:c r="K48" s="99"/>
      <x:c r="L48" s="99"/>
      <x:c r="M48" s="99"/>
      <x:c r="N48" s="99"/>
      <x:c r="O48" s="99"/>
      <x:c r="P48" s="99"/>
      <x:c r="Q48" s="99"/>
    </x:row>
    <x:row r="49">
      <x:c r="A49" s="99"/>
      <x:c r="B49" s="99"/>
      <x:c r="C49" s="99"/>
      <x:c r="D49" s="99"/>
      <x:c r="E49" s="99"/>
      <x:c r="F49" s="99"/>
      <x:c r="G49" s="99"/>
      <x:c r="H49" s="99"/>
      <x:c r="I49" s="99"/>
      <x:c r="J49" s="99"/>
      <x:c r="K49" s="99"/>
      <x:c r="L49" s="99"/>
      <x:c r="M49" s="99"/>
      <x:c r="N49" s="99"/>
      <x:c r="O49" s="99"/>
      <x:c r="P49" s="99"/>
      <x:c r="Q49" s="99"/>
    </x:row>
    <x:row r="50">
      <x:c r="A50" s="99"/>
      <x:c r="B50" s="99"/>
      <x:c r="C50" s="99"/>
      <x:c r="D50" s="99"/>
      <x:c r="E50" s="99"/>
      <x:c r="F50" s="99"/>
      <x:c r="G50" s="99"/>
      <x:c r="H50" s="99"/>
      <x:c r="I50" s="99"/>
      <x:c r="J50" s="99"/>
      <x:c r="K50" s="99"/>
      <x:c r="L50" s="99"/>
      <x:c r="M50" s="99"/>
      <x:c r="N50" s="99"/>
      <x:c r="O50" s="99"/>
      <x:c r="P50" s="99"/>
      <x:c r="Q50" s="99"/>
    </x:row>
    <x:row r="51">
      <x:c r="A51" s="99"/>
      <x:c r="B51" s="99"/>
      <x:c r="C51" s="99"/>
      <x:c r="D51" s="99"/>
      <x:c r="E51" s="99"/>
      <x:c r="F51" s="99"/>
      <x:c r="G51" s="99"/>
      <x:c r="H51" s="99"/>
      <x:c r="I51" s="99"/>
      <x:c r="J51" s="99"/>
      <x:c r="K51" s="99"/>
      <x:c r="L51" s="99"/>
      <x:c r="M51" s="99"/>
      <x:c r="N51" s="99"/>
      <x:c r="O51" s="99"/>
      <x:c r="P51" s="99"/>
      <x:c r="Q51" s="99"/>
    </x:row>
    <x:row r="52">
      <x:c r="A52" s="99"/>
      <x:c r="B52" s="99"/>
      <x:c r="C52" s="99"/>
      <x:c r="D52" s="99"/>
      <x:c r="E52" s="99"/>
      <x:c r="F52" s="99"/>
      <x:c r="G52" s="99"/>
      <x:c r="H52" s="99"/>
      <x:c r="I52" s="99"/>
      <x:c r="J52" s="99"/>
      <x:c r="K52" s="99"/>
      <x:c r="L52" s="99"/>
      <x:c r="M52" s="99"/>
      <x:c r="N52" s="99"/>
      <x:c r="O52" s="99"/>
      <x:c r="P52" s="99"/>
      <x:c r="Q52" s="99"/>
    </x:row>
    <x:row r="53">
      <x:c r="A53" s="99"/>
      <x:c r="B53" s="99"/>
      <x:c r="C53" s="99"/>
      <x:c r="D53" s="99"/>
      <x:c r="E53" s="99"/>
      <x:c r="F53" s="99"/>
      <x:c r="G53" s="99"/>
      <x:c r="H53" s="99"/>
      <x:c r="I53" s="99"/>
      <x:c r="J53" s="99"/>
      <x:c r="K53" s="99"/>
      <x:c r="L53" s="99"/>
      <x:c r="M53" s="99"/>
      <x:c r="N53" s="99"/>
      <x:c r="O53" s="99"/>
      <x:c r="P53" s="99"/>
      <x:c r="Q53" s="99"/>
    </x:row>
    <x:row r="54">
      <x:c r="A54" s="99"/>
      <x:c r="B54" s="99"/>
      <x:c r="C54" s="99"/>
      <x:c r="D54" s="99"/>
      <x:c r="E54" s="99"/>
      <x:c r="F54" s="99"/>
      <x:c r="G54" s="99"/>
      <x:c r="H54" s="99"/>
      <x:c r="I54" s="99"/>
      <x:c r="J54" s="99"/>
      <x:c r="K54" s="99"/>
      <x:c r="L54" s="99"/>
      <x:c r="M54" s="99"/>
      <x:c r="N54" s="99"/>
      <x:c r="O54" s="99"/>
      <x:c r="P54" s="99"/>
      <x:c r="Q54" s="99"/>
    </x:row>
    <x:row r="55">
      <x:c r="A55" s="99"/>
      <x:c r="B55" s="99"/>
      <x:c r="C55" s="99"/>
      <x:c r="D55" s="99"/>
      <x:c r="E55" s="99"/>
      <x:c r="F55" s="99"/>
      <x:c r="G55" s="99"/>
      <x:c r="H55" s="99"/>
      <x:c r="I55" s="99"/>
      <x:c r="J55" s="99"/>
      <x:c r="K55" s="99"/>
      <x:c r="L55" s="99"/>
      <x:c r="M55" s="99"/>
      <x:c r="N55" s="99"/>
      <x:c r="O55" s="99"/>
      <x:c r="P55" s="99"/>
      <x:c r="Q55" s="99"/>
    </x:row>
    <x:row r="56">
      <x:c r="A56" s="99"/>
      <x:c r="B56" s="99"/>
      <x:c r="C56" s="99"/>
      <x:c r="D56" s="99"/>
      <x:c r="E56" s="99"/>
      <x:c r="F56" s="99"/>
      <x:c r="G56" s="99"/>
      <x:c r="H56" s="99"/>
      <x:c r="I56" s="99"/>
      <x:c r="J56" s="99"/>
      <x:c r="K56" s="99"/>
      <x:c r="L56" s="99"/>
      <x:c r="M56" s="99"/>
      <x:c r="N56" s="99"/>
      <x:c r="O56" s="99"/>
      <x:c r="P56" s="99"/>
      <x:c r="Q56" s="99"/>
    </x:row>
    <x:row r="57">
      <x:c r="A57" s="99"/>
      <x:c r="B57" s="99"/>
      <x:c r="C57" s="99"/>
      <x:c r="D57" s="99"/>
      <x:c r="E57" s="99"/>
      <x:c r="F57" s="99"/>
      <x:c r="G57" s="99"/>
      <x:c r="H57" s="99"/>
      <x:c r="I57" s="99"/>
      <x:c r="J57" s="99"/>
      <x:c r="K57" s="99"/>
      <x:c r="L57" s="99"/>
      <x:c r="M57" s="99"/>
      <x:c r="N57" s="99"/>
      <x:c r="O57" s="99"/>
      <x:c r="P57" s="99"/>
      <x:c r="Q57" s="99"/>
    </x:row>
    <x:row r="58">
      <x:c r="A58" s="99"/>
      <x:c r="B58" s="99"/>
      <x:c r="C58" s="99"/>
      <x:c r="D58" s="99"/>
      <x:c r="E58" s="99"/>
      <x:c r="F58" s="99"/>
      <x:c r="G58" s="99"/>
      <x:c r="H58" s="99"/>
      <x:c r="I58" s="99"/>
      <x:c r="J58" s="99"/>
      <x:c r="K58" s="99"/>
      <x:c r="L58" s="99"/>
      <x:c r="M58" s="99"/>
      <x:c r="N58" s="99"/>
      <x:c r="O58" s="99"/>
      <x:c r="P58" s="99"/>
      <x:c r="Q58" s="99"/>
    </x:row>
    <x:row r="59">
      <x:c r="A59" s="99"/>
      <x:c r="B59" s="99"/>
      <x:c r="C59" s="99"/>
      <x:c r="D59" s="99"/>
      <x:c r="E59" s="99"/>
      <x:c r="F59" s="99"/>
      <x:c r="G59" s="99"/>
      <x:c r="H59" s="99"/>
      <x:c r="I59" s="99"/>
      <x:c r="J59" s="99"/>
      <x:c r="K59" s="99"/>
      <x:c r="L59" s="99"/>
      <x:c r="M59" s="99"/>
      <x:c r="N59" s="99"/>
      <x:c r="O59" s="99"/>
      <x:c r="P59" s="99"/>
      <x:c r="Q59" s="99"/>
    </x:row>
    <x:row r="60">
      <x:c r="A60" s="99"/>
      <x:c r="B60" s="99"/>
      <x:c r="C60" s="99"/>
      <x:c r="D60" s="99"/>
      <x:c r="E60" s="99"/>
      <x:c r="F60" s="99"/>
      <x:c r="G60" s="99"/>
      <x:c r="H60" s="99"/>
      <x:c r="I60" s="99"/>
      <x:c r="J60" s="99"/>
      <x:c r="K60" s="99"/>
      <x:c r="L60" s="99"/>
      <x:c r="M60" s="99"/>
      <x:c r="N60" s="99"/>
      <x:c r="O60" s="99"/>
      <x:c r="P60" s="99"/>
      <x:c r="Q60" s="99"/>
    </x:row>
    <x:row r="61">
      <x:c r="A61" s="99"/>
      <x:c r="B61" s="99"/>
      <x:c r="C61" s="99"/>
      <x:c r="D61" s="99"/>
      <x:c r="E61" s="99"/>
      <x:c r="F61" s="99"/>
      <x:c r="G61" s="99"/>
      <x:c r="H61" s="99"/>
      <x:c r="I61" s="99"/>
      <x:c r="J61" s="99"/>
      <x:c r="K61" s="99"/>
      <x:c r="L61" s="99"/>
      <x:c r="M61" s="99"/>
      <x:c r="N61" s="99"/>
      <x:c r="O61" s="99"/>
      <x:c r="P61" s="99"/>
      <x:c r="Q61" s="99"/>
    </x:row>
    <x:row r="62">
      <x:c r="A62" s="99"/>
      <x:c r="B62" s="99"/>
      <x:c r="C62" s="99"/>
      <x:c r="D62" s="99"/>
      <x:c r="E62" s="99"/>
      <x:c r="F62" s="99"/>
      <x:c r="G62" s="99"/>
      <x:c r="H62" s="99"/>
      <x:c r="I62" s="99"/>
      <x:c r="J62" s="99"/>
      <x:c r="K62" s="99"/>
      <x:c r="L62" s="99"/>
      <x:c r="M62" s="99"/>
      <x:c r="N62" s="99"/>
      <x:c r="O62" s="99"/>
      <x:c r="P62" s="99"/>
      <x:c r="Q62" s="99"/>
    </x:row>
    <x:row r="63">
      <x:c r="A63" s="99"/>
      <x:c r="B63" s="99"/>
      <x:c r="C63" s="99"/>
      <x:c r="D63" s="99"/>
      <x:c r="E63" s="99"/>
      <x:c r="F63" s="99"/>
      <x:c r="G63" s="99"/>
      <x:c r="H63" s="99"/>
      <x:c r="I63" s="99"/>
      <x:c r="J63" s="99"/>
      <x:c r="K63" s="99"/>
      <x:c r="L63" s="99"/>
      <x:c r="M63" s="99"/>
      <x:c r="N63" s="99"/>
      <x:c r="O63" s="99"/>
      <x:c r="P63" s="99"/>
      <x:c r="Q63" s="99"/>
    </x:row>
    <x:row r="64">
      <x:c r="A64" s="99"/>
      <x:c r="B64" s="99"/>
      <x:c r="C64" s="99"/>
      <x:c r="D64" s="99"/>
      <x:c r="E64" s="99"/>
      <x:c r="F64" s="99"/>
      <x:c r="G64" s="99"/>
      <x:c r="H64" s="99"/>
      <x:c r="I64" s="99"/>
      <x:c r="J64" s="99"/>
      <x:c r="K64" s="99"/>
      <x:c r="L64" s="99"/>
      <x:c r="M64" s="99"/>
      <x:c r="N64" s="99"/>
      <x:c r="O64" s="99"/>
      <x:c r="P64" s="99"/>
      <x:c r="Q64" s="99"/>
    </x:row>
    <x:row r="65">
      <x:c r="A65" s="99"/>
      <x:c r="B65" s="99"/>
      <x:c r="C65" s="99"/>
      <x:c r="D65" s="99"/>
      <x:c r="E65" s="99"/>
      <x:c r="F65" s="99"/>
      <x:c r="G65" s="99"/>
      <x:c r="H65" s="99"/>
      <x:c r="I65" s="99"/>
      <x:c r="J65" s="99"/>
      <x:c r="K65" s="99"/>
      <x:c r="L65" s="99"/>
      <x:c r="M65" s="99"/>
      <x:c r="N65" s="99"/>
      <x:c r="O65" s="99"/>
      <x:c r="P65" s="99"/>
      <x:c r="Q65" s="99"/>
    </x:row>
    <x:row r="66">
      <x:c r="A66" s="99"/>
      <x:c r="B66" s="99"/>
      <x:c r="C66" s="99"/>
      <x:c r="D66" s="99"/>
      <x:c r="E66" s="99"/>
      <x:c r="F66" s="99"/>
      <x:c r="G66" s="99"/>
      <x:c r="H66" s="99"/>
      <x:c r="I66" s="99"/>
      <x:c r="J66" s="99"/>
      <x:c r="K66" s="99"/>
      <x:c r="L66" s="99"/>
      <x:c r="M66" s="99"/>
      <x:c r="N66" s="99"/>
      <x:c r="O66" s="99"/>
      <x:c r="P66" s="99"/>
      <x:c r="Q66" s="99"/>
    </x:row>
    <x:row r="67">
      <x:c r="A67" s="99"/>
      <x:c r="B67" s="99"/>
      <x:c r="C67" s="99"/>
      <x:c r="D67" s="99"/>
      <x:c r="E67" s="99"/>
      <x:c r="F67" s="99"/>
      <x:c r="G67" s="99"/>
      <x:c r="H67" s="99"/>
      <x:c r="I67" s="99"/>
      <x:c r="J67" s="99"/>
      <x:c r="K67" s="99"/>
      <x:c r="L67" s="99"/>
      <x:c r="M67" s="99"/>
      <x:c r="N67" s="99"/>
      <x:c r="O67" s="99"/>
      <x:c r="P67" s="99"/>
      <x:c r="Q67" s="99"/>
    </x:row>
    <x:row r="68">
      <x:c r="A68" s="99"/>
      <x:c r="B68" s="99"/>
      <x:c r="C68" s="99"/>
      <x:c r="D68" s="99"/>
      <x:c r="E68" s="99"/>
      <x:c r="F68" s="99"/>
      <x:c r="G68" s="99"/>
      <x:c r="H68" s="99"/>
      <x:c r="I68" s="99"/>
      <x:c r="J68" s="99"/>
      <x:c r="K68" s="99"/>
      <x:c r="L68" s="99"/>
      <x:c r="M68" s="99"/>
      <x:c r="N68" s="99"/>
      <x:c r="O68" s="99"/>
      <x:c r="P68" s="99"/>
      <x:c r="Q68" s="99"/>
    </x:row>
    <x:row r="69">
      <x:c r="A69" s="99"/>
      <x:c r="B69" s="99"/>
      <x:c r="C69" s="99"/>
      <x:c r="D69" s="99"/>
      <x:c r="E69" s="99"/>
      <x:c r="F69" s="99"/>
      <x:c r="G69" s="99"/>
      <x:c r="H69" s="99"/>
      <x:c r="I69" s="99"/>
      <x:c r="J69" s="99"/>
      <x:c r="K69" s="99"/>
      <x:c r="L69" s="99"/>
      <x:c r="M69" s="99"/>
      <x:c r="N69" s="99"/>
      <x:c r="O69" s="99"/>
      <x:c r="P69" s="99"/>
      <x:c r="Q69" s="99"/>
    </x:row>
    <x:row r="70">
      <x:c r="A70" s="99"/>
      <x:c r="B70" s="99"/>
      <x:c r="C70" s="99"/>
      <x:c r="D70" s="99"/>
      <x:c r="E70" s="99"/>
      <x:c r="F70" s="99"/>
      <x:c r="G70" s="99"/>
      <x:c r="H70" s="99"/>
      <x:c r="I70" s="99"/>
      <x:c r="J70" s="99"/>
      <x:c r="K70" s="99"/>
      <x:c r="L70" s="99"/>
      <x:c r="M70" s="99"/>
      <x:c r="N70" s="99"/>
      <x:c r="O70" s="99"/>
      <x:c r="P70" s="99"/>
      <x:c r="Q70" s="99"/>
    </x:row>
    <x:row r="71">
      <x:c r="A71" s="99"/>
      <x:c r="B71" s="99"/>
      <x:c r="C71" s="99"/>
      <x:c r="D71" s="99"/>
      <x:c r="E71" s="99"/>
      <x:c r="F71" s="99"/>
      <x:c r="G71" s="99"/>
      <x:c r="H71" s="99"/>
      <x:c r="I71" s="99"/>
      <x:c r="J71" s="99"/>
      <x:c r="K71" s="99"/>
      <x:c r="L71" s="99"/>
      <x:c r="M71" s="99"/>
      <x:c r="N71" s="99"/>
      <x:c r="O71" s="99"/>
      <x:c r="P71" s="99"/>
      <x:c r="Q71" s="99"/>
    </x:row>
    <x:row r="72">
      <x:c r="A72" s="99"/>
      <x:c r="B72" s="99"/>
      <x:c r="C72" s="99"/>
      <x:c r="D72" s="99"/>
      <x:c r="E72" s="99"/>
      <x:c r="F72" s="99"/>
      <x:c r="G72" s="99"/>
      <x:c r="H72" s="99"/>
      <x:c r="I72" s="99"/>
      <x:c r="J72" s="99"/>
      <x:c r="K72" s="99"/>
      <x:c r="L72" s="99"/>
      <x:c r="M72" s="99"/>
      <x:c r="N72" s="99"/>
      <x:c r="O72" s="99"/>
      <x:c r="P72" s="99"/>
      <x:c r="Q72" s="99"/>
    </x:row>
    <x:row r="73">
      <x:c r="A73" s="99"/>
      <x:c r="B73" s="99"/>
      <x:c r="C73" s="99"/>
      <x:c r="D73" s="99"/>
      <x:c r="E73" s="99"/>
      <x:c r="F73" s="99"/>
      <x:c r="G73" s="99"/>
      <x:c r="H73" s="99"/>
      <x:c r="I73" s="99"/>
      <x:c r="J73" s="99"/>
      <x:c r="K73" s="99"/>
      <x:c r="L73" s="99"/>
      <x:c r="M73" s="99"/>
      <x:c r="N73" s="99"/>
      <x:c r="O73" s="99"/>
      <x:c r="P73" s="99"/>
      <x:c r="Q73" s="99"/>
    </x:row>
    <x:row r="74">
      <x:c r="A74" s="99"/>
      <x:c r="B74" s="99"/>
      <x:c r="C74" s="99"/>
      <x:c r="D74" s="99"/>
      <x:c r="E74" s="99"/>
      <x:c r="F74" s="99"/>
      <x:c r="G74" s="99"/>
      <x:c r="H74" s="99"/>
      <x:c r="I74" s="99"/>
      <x:c r="J74" s="99"/>
      <x:c r="K74" s="99"/>
      <x:c r="L74" s="99"/>
      <x:c r="M74" s="99"/>
      <x:c r="N74" s="99"/>
      <x:c r="O74" s="99"/>
      <x:c r="P74" s="99"/>
      <x:c r="Q74" s="99"/>
    </x:row>
    <x:row r="75">
      <x:c r="A75" s="99"/>
      <x:c r="B75" s="99"/>
      <x:c r="C75" s="99"/>
      <x:c r="D75" s="99"/>
      <x:c r="E75" s="99"/>
      <x:c r="F75" s="99"/>
      <x:c r="G75" s="99"/>
      <x:c r="H75" s="99"/>
      <x:c r="I75" s="99"/>
      <x:c r="J75" s="99"/>
      <x:c r="K75" s="99"/>
      <x:c r="L75" s="99"/>
      <x:c r="M75" s="99"/>
      <x:c r="N75" s="99"/>
      <x:c r="O75" s="99"/>
      <x:c r="P75" s="99"/>
      <x:c r="Q75" s="99"/>
    </x:row>
    <x:row r="76">
      <x:c r="A76" s="99"/>
      <x:c r="B76" s="99"/>
      <x:c r="C76" s="99"/>
      <x:c r="D76" s="99"/>
      <x:c r="E76" s="99"/>
      <x:c r="F76" s="99"/>
      <x:c r="G76" s="99"/>
      <x:c r="H76" s="99"/>
      <x:c r="I76" s="99"/>
      <x:c r="J76" s="99"/>
      <x:c r="K76" s="99"/>
      <x:c r="L76" s="99"/>
      <x:c r="M76" s="99"/>
      <x:c r="N76" s="99"/>
      <x:c r="O76" s="99"/>
      <x:c r="P76" s="99"/>
      <x:c r="Q76" s="99"/>
    </x:row>
    <x:row r="77">
      <x:c r="A77" s="99"/>
      <x:c r="B77" s="99"/>
      <x:c r="C77" s="99"/>
      <x:c r="D77" s="99"/>
      <x:c r="E77" s="99"/>
      <x:c r="F77" s="99"/>
      <x:c r="G77" s="99"/>
      <x:c r="H77" s="99"/>
      <x:c r="I77" s="99"/>
      <x:c r="J77" s="99"/>
      <x:c r="K77" s="99"/>
      <x:c r="L77" s="99"/>
      <x:c r="M77" s="99"/>
      <x:c r="N77" s="99"/>
      <x:c r="O77" s="99"/>
      <x:c r="P77" s="99"/>
      <x:c r="Q77" s="99"/>
    </x:row>
    <x:row r="78">
      <x:c r="A78" s="99"/>
      <x:c r="B78" s="99"/>
      <x:c r="C78" s="99"/>
      <x:c r="D78" s="99"/>
      <x:c r="E78" s="99"/>
      <x:c r="F78" s="99"/>
      <x:c r="G78" s="99"/>
      <x:c r="H78" s="99"/>
      <x:c r="I78" s="99"/>
      <x:c r="J78" s="99"/>
      <x:c r="K78" s="99"/>
      <x:c r="L78" s="99"/>
      <x:c r="M78" s="99"/>
      <x:c r="N78" s="99"/>
      <x:c r="O78" s="99"/>
      <x:c r="P78" s="99"/>
      <x:c r="Q78" s="99"/>
    </x:row>
    <x:row r="79">
      <x:c r="A79" s="99"/>
      <x:c r="B79" s="99"/>
      <x:c r="C79" s="99"/>
      <x:c r="D79" s="99"/>
      <x:c r="E79" s="99"/>
      <x:c r="F79" s="99"/>
      <x:c r="G79" s="99"/>
      <x:c r="H79" s="99"/>
      <x:c r="I79" s="99"/>
      <x:c r="J79" s="99"/>
      <x:c r="K79" s="99"/>
      <x:c r="L79" s="99"/>
      <x:c r="M79" s="99"/>
      <x:c r="N79" s="99"/>
      <x:c r="O79" s="99"/>
      <x:c r="P79" s="99"/>
      <x:c r="Q79" s="99"/>
    </x:row>
    <x:row r="80">
      <x:c r="A80" s="99"/>
      <x:c r="B80" s="99"/>
      <x:c r="C80" s="99"/>
      <x:c r="D80" s="99"/>
      <x:c r="E80" s="99"/>
      <x:c r="F80" s="99"/>
      <x:c r="G80" s="99"/>
      <x:c r="H80" s="99"/>
      <x:c r="I80" s="99"/>
      <x:c r="J80" s="99"/>
      <x:c r="K80" s="99"/>
      <x:c r="L80" s="99"/>
      <x:c r="M80" s="99"/>
      <x:c r="N80" s="99"/>
      <x:c r="O80" s="99"/>
      <x:c r="P80" s="99"/>
      <x:c r="Q80" s="99"/>
    </x:row>
  </x:sheetData>
  <x:mergeCells>
    <x:mergeCell ref="A1:J1"/>
    <x:mergeCell ref="A2:J2"/>
  </x:mergeCells>
  <x:pageMargins left="0.7" right="0.7" top="0.75" bottom="0.75" header="0.3" footer="0.3"/>
</x:worksheet>
</file>